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&amp;O Stocks" sheetId="1" r:id="rId4"/>
    <sheet state="visible" name="NIFTY 50" sheetId="2" r:id="rId5"/>
  </sheets>
  <definedNames>
    <definedName hidden="1" localSheetId="0" name="_xlnm._FilterDatabase">'F&amp;O Stocks'!$A$1:$K$225</definedName>
  </definedNames>
  <calcPr/>
  <extLst>
    <ext uri="GoogleSheetsCustomDataVersion2">
      <go:sheetsCustomData xmlns:go="http://customooxmlschemas.google.com/" r:id="rId6" roundtripDataChecksum="2KYeKAMuHaMryjDP6T9TMO+xBFtto5RX1fYhe033NL0="/>
    </ext>
  </extLst>
</workbook>
</file>

<file path=xl/sharedStrings.xml><?xml version="1.0" encoding="utf-8"?>
<sst xmlns="http://schemas.openxmlformats.org/spreadsheetml/2006/main" count="740" uniqueCount="564">
  <si>
    <t>S.No</t>
  </si>
  <si>
    <t>Stock Name</t>
  </si>
  <si>
    <t>NSE Symbol</t>
  </si>
  <si>
    <t>Listing Month (NSE)</t>
  </si>
  <si>
    <t>Jan 1, 2026 Open Price (₹)</t>
  </si>
  <si>
    <t>April 1, 2026 Open Price (₹)</t>
  </si>
  <si>
    <t>May 2, 2026 Open Price (₹)</t>
  </si>
  <si>
    <t>today's current price</t>
  </si>
  <si>
    <t>january price difference</t>
  </si>
  <si>
    <t>April Price Difference</t>
  </si>
  <si>
    <t>May Price Difference</t>
  </si>
  <si>
    <t>360 ONE WAM</t>
  </si>
  <si>
    <t>360ONE</t>
  </si>
  <si>
    <t>Sep-2018</t>
  </si>
  <si>
    <t>Adani Enterprises</t>
  </si>
  <si>
    <t>ADANIENT</t>
  </si>
  <si>
    <t>Nov-1994</t>
  </si>
  <si>
    <t>Adani Energy Solutions</t>
  </si>
  <si>
    <t>ADANIENSOL</t>
  </si>
  <si>
    <t>Aug-2008</t>
  </si>
  <si>
    <t>Adani Green Energy</t>
  </si>
  <si>
    <t>ADANIGREEN</t>
  </si>
  <si>
    <t>Jun-2018</t>
  </si>
  <si>
    <t>Adani Ports &amp; SEZ</t>
  </si>
  <si>
    <t>ADANIPORTS</t>
  </si>
  <si>
    <t>Nov-2007</t>
  </si>
  <si>
    <t>Adani Power</t>
  </si>
  <si>
    <t>ADANIPOWER</t>
  </si>
  <si>
    <t>Aug-2009</t>
  </si>
  <si>
    <t>Adani Total Gas</t>
  </si>
  <si>
    <t>ATGL</t>
  </si>
  <si>
    <t>Nov-2018</t>
  </si>
  <si>
    <t>Aditya Birla Capital</t>
  </si>
  <si>
    <t>ABCAPITAL</t>
  </si>
  <si>
    <t>Sep-2017</t>
  </si>
  <si>
    <t>Aditya Birla Fashion &amp; Retail</t>
  </si>
  <si>
    <t>ABFRL</t>
  </si>
  <si>
    <t>Feb-2016</t>
  </si>
  <si>
    <t>Alkem Laboratories</t>
  </si>
  <si>
    <t>ALKEM</t>
  </si>
  <si>
    <t>Dec-2015</t>
  </si>
  <si>
    <t>Ambuja Cements</t>
  </si>
  <si>
    <t>AMBUJACEM</t>
  </si>
  <si>
    <t>Angel One</t>
  </si>
  <si>
    <t>ANGELONE</t>
  </si>
  <si>
    <t>Oct-2020</t>
  </si>
  <si>
    <t>Apollo Hospitals Enterprise</t>
  </si>
  <si>
    <t>APOLLOHOSP</t>
  </si>
  <si>
    <t>Apollo Tyres</t>
  </si>
  <si>
    <t>APOLLOTYRE</t>
  </si>
  <si>
    <t>Aug-1995</t>
  </si>
  <si>
    <t>Ashok Leyland</t>
  </si>
  <si>
    <t>ASHOKLEY</t>
  </si>
  <si>
    <t>Aug-1996</t>
  </si>
  <si>
    <t>Asian Paints</t>
  </si>
  <si>
    <t>ASIANPAINT</t>
  </si>
  <si>
    <t>Sep-2002</t>
  </si>
  <si>
    <t>Astral</t>
  </si>
  <si>
    <t>ASTRAL</t>
  </si>
  <si>
    <t>Mar-2007</t>
  </si>
  <si>
    <t>Aurobindo Pharma</t>
  </si>
  <si>
    <t>AUROPHARMA</t>
  </si>
  <si>
    <t>Mar-1995</t>
  </si>
  <si>
    <t>Au Small Finance Bank</t>
  </si>
  <si>
    <t>AUBANK</t>
  </si>
  <si>
    <t>Jul-2017</t>
  </si>
  <si>
    <t>Axis Bank</t>
  </si>
  <si>
    <t>AXISBANK</t>
  </si>
  <si>
    <t>Nov-1998</t>
  </si>
  <si>
    <t>Bajaj Auto</t>
  </si>
  <si>
    <t>BAJAJ-AUTO</t>
  </si>
  <si>
    <t>May-2008</t>
  </si>
  <si>
    <t>Bajaj Finance</t>
  </si>
  <si>
    <t>BAJFINANCE</t>
  </si>
  <si>
    <t>Apr-2009</t>
  </si>
  <si>
    <t>Bajaj Finserv</t>
  </si>
  <si>
    <t>BAJAJFINSV</t>
  </si>
  <si>
    <t>Bajaj Holdings &amp; Investment</t>
  </si>
  <si>
    <t>BAJAJHLDNG</t>
  </si>
  <si>
    <t>Balkrishna Industries</t>
  </si>
  <si>
    <t>BALKRISIND</t>
  </si>
  <si>
    <t>Aug-2003</t>
  </si>
  <si>
    <t>Bandhan Bank</t>
  </si>
  <si>
    <t>BANDHANBNK</t>
  </si>
  <si>
    <t>Mar-2018</t>
  </si>
  <si>
    <t>Bank of Baroda</t>
  </si>
  <si>
    <t>BANKBARODA</t>
  </si>
  <si>
    <t>Jan-1997</t>
  </si>
  <si>
    <t>Bank of India</t>
  </si>
  <si>
    <t>BANKINDIA</t>
  </si>
  <si>
    <t>May-1997</t>
  </si>
  <si>
    <t>BEML</t>
  </si>
  <si>
    <t>Berger Paints India</t>
  </si>
  <si>
    <t>BERGEPAINT</t>
  </si>
  <si>
    <t>Jun-2002</t>
  </si>
  <si>
    <t>Bharat Dynamics</t>
  </si>
  <si>
    <t>BDL</t>
  </si>
  <si>
    <t>Bharat Electronics</t>
  </si>
  <si>
    <t>BEL</t>
  </si>
  <si>
    <t>Apr-2002</t>
  </si>
  <si>
    <t>Bharat Forge</t>
  </si>
  <si>
    <t>BHARATFORG</t>
  </si>
  <si>
    <t>Bharat Heavy Electricals</t>
  </si>
  <si>
    <t>BHEL</t>
  </si>
  <si>
    <t>Bharat Petroleum Corporation</t>
  </si>
  <si>
    <t>BPCL</t>
  </si>
  <si>
    <t>Bharti Airtel</t>
  </si>
  <si>
    <t>BHARTIARTL</t>
  </si>
  <si>
    <t>Feb-2002</t>
  </si>
  <si>
    <t>Bharti Hexacom</t>
  </si>
  <si>
    <t>BHARTIHEXA</t>
  </si>
  <si>
    <t>Apr-2024</t>
  </si>
  <si>
    <t>Biocon</t>
  </si>
  <si>
    <t>BIOCON</t>
  </si>
  <si>
    <t>Apr-2004</t>
  </si>
  <si>
    <t>Bombay Stock Exchange</t>
  </si>
  <si>
    <t>BSE</t>
  </si>
  <si>
    <t>Feb-2017</t>
  </si>
  <si>
    <t>Bosch</t>
  </si>
  <si>
    <t>BOSCHLTD</t>
  </si>
  <si>
    <t>Mar-2002</t>
  </si>
  <si>
    <t>Britannia Industries</t>
  </si>
  <si>
    <t>BRITANNIA</t>
  </si>
  <si>
    <t>Cantabil Retail India</t>
  </si>
  <si>
    <t>CANBK</t>
  </si>
  <si>
    <t>Dec-2002</t>
  </si>
  <si>
    <t>CDSL</t>
  </si>
  <si>
    <t>Jun-2017</t>
  </si>
  <si>
    <t>Cesc</t>
  </si>
  <si>
    <t>CESC</t>
  </si>
  <si>
    <t>CG Power &amp; Industrial Solutions</t>
  </si>
  <si>
    <t>CGPOWER</t>
  </si>
  <si>
    <t>May-2003</t>
  </si>
  <si>
    <t>Chambal Fertilizers</t>
  </si>
  <si>
    <t>CHAMBLFERT</t>
  </si>
  <si>
    <t>Apr-2003</t>
  </si>
  <si>
    <t>Cholamandalam Investment &amp; Finance</t>
  </si>
  <si>
    <t>CHOLAFIN</t>
  </si>
  <si>
    <t>Jul-2003</t>
  </si>
  <si>
    <t>Cipla</t>
  </si>
  <si>
    <t>CIPLA</t>
  </si>
  <si>
    <t>Coal India</t>
  </si>
  <si>
    <t>COALINDIA</t>
  </si>
  <si>
    <t>Nov-2010</t>
  </si>
  <si>
    <t>Cochin Shipyard</t>
  </si>
  <si>
    <t>COCHINSHIP</t>
  </si>
  <si>
    <t>Aug-2017</t>
  </si>
  <si>
    <t>Coforge</t>
  </si>
  <si>
    <t>COFORGE</t>
  </si>
  <si>
    <t>Aug-2007</t>
  </si>
  <si>
    <t>Colgate-Palmolive</t>
  </si>
  <si>
    <t>COLPAL</t>
  </si>
  <si>
    <t>Container Corporation of India</t>
  </si>
  <si>
    <t>CONCOR</t>
  </si>
  <si>
    <t>Coromandel International</t>
  </si>
  <si>
    <t>COROMANDEL</t>
  </si>
  <si>
    <t>Sep-2003</t>
  </si>
  <si>
    <t>Crompton Greaves Consumer Electricals</t>
  </si>
  <si>
    <t>CROMPTON</t>
  </si>
  <si>
    <t>May-2016</t>
  </si>
  <si>
    <t>CUMMINS India</t>
  </si>
  <si>
    <t>CUMMINSIND</t>
  </si>
  <si>
    <t>Dabur India</t>
  </si>
  <si>
    <t>DABUR</t>
  </si>
  <si>
    <t>Dalmia Bharat</t>
  </si>
  <si>
    <t>DALBHARAT</t>
  </si>
  <si>
    <t>Delhivery</t>
  </si>
  <si>
    <t>DELHIVERY</t>
  </si>
  <si>
    <t>May-2022</t>
  </si>
  <si>
    <t>Deepak Nitrite</t>
  </si>
  <si>
    <t>DEEPAKNTR</t>
  </si>
  <si>
    <t>Dixon Technologies</t>
  </si>
  <si>
    <t>DIXON</t>
  </si>
  <si>
    <t>DLF</t>
  </si>
  <si>
    <t>Jul-2007</t>
  </si>
  <si>
    <t>Divi's Laboratories</t>
  </si>
  <si>
    <t>DIVISLAB</t>
  </si>
  <si>
    <t>Mar-2003</t>
  </si>
  <si>
    <t>Dr. Lal PathLabs</t>
  </si>
  <si>
    <t>LALPATHLAB</t>
  </si>
  <si>
    <t>Dr. Reddy's Laboratories</t>
  </si>
  <si>
    <t>DRREDDY</t>
  </si>
  <si>
    <t>Eicher Motors</t>
  </si>
  <si>
    <t>EICHERMOT</t>
  </si>
  <si>
    <t>Jun-2003</t>
  </si>
  <si>
    <t>Escorts Kubota</t>
  </si>
  <si>
    <t>ESCORTS</t>
  </si>
  <si>
    <t>Exide Industries</t>
  </si>
  <si>
    <t>EXIDEIND</t>
  </si>
  <si>
    <t>Federal Bank</t>
  </si>
  <si>
    <t>FEDERALBNK</t>
  </si>
  <si>
    <t>Fertilisers and Chemicals Travancore</t>
  </si>
  <si>
    <t>FACT</t>
  </si>
  <si>
    <t>FSN E-Commerce Ventures (Nykaa)</t>
  </si>
  <si>
    <t>NYKAA</t>
  </si>
  <si>
    <t>Nov-2021</t>
  </si>
  <si>
    <t>Gail (India)</t>
  </si>
  <si>
    <t>GAIL</t>
  </si>
  <si>
    <t>Glenmark Pharmaceuticals</t>
  </si>
  <si>
    <t>GLENMARK</t>
  </si>
  <si>
    <t>GMR Airports Infrastructure</t>
  </si>
  <si>
    <t>GMRINFRA</t>
  </si>
  <si>
    <t>Aug-2006</t>
  </si>
  <si>
    <t>Godrej Consumer Products</t>
  </si>
  <si>
    <t>GODREJCP</t>
  </si>
  <si>
    <t>Godrej Properties</t>
  </si>
  <si>
    <t>GODREJPROP</t>
  </si>
  <si>
    <t>Jan-2010</t>
  </si>
  <si>
    <t>Granules India</t>
  </si>
  <si>
    <t>GRANULES</t>
  </si>
  <si>
    <t>Grasim Industries</t>
  </si>
  <si>
    <t>GRASIM</t>
  </si>
  <si>
    <t>HAL</t>
  </si>
  <si>
    <t>HCL Technologies</t>
  </si>
  <si>
    <t>HCLTECH</t>
  </si>
  <si>
    <t>Jan-2000</t>
  </si>
  <si>
    <t>HDFC Asset Management</t>
  </si>
  <si>
    <t>HDFCAMC</t>
  </si>
  <si>
    <t>Aug-2018</t>
  </si>
  <si>
    <t>HDFC Bank</t>
  </si>
  <si>
    <t>HDFCBANK</t>
  </si>
  <si>
    <t>Nov-1995</t>
  </si>
  <si>
    <t>HDFC Life Insurance</t>
  </si>
  <si>
    <t>HDFCLIFE</t>
  </si>
  <si>
    <t>Nov-2017</t>
  </si>
  <si>
    <t>Hero MotoCorp</t>
  </si>
  <si>
    <t>HEROMOTOCO</t>
  </si>
  <si>
    <t>Hindalco Industries</t>
  </si>
  <si>
    <t>HINDALCO</t>
  </si>
  <si>
    <t>Hindustan Copper</t>
  </si>
  <si>
    <t>HINDCOPPER</t>
  </si>
  <si>
    <t>Hindustan Petroleum Corporation</t>
  </si>
  <si>
    <t>HINDPETRO</t>
  </si>
  <si>
    <t>Hindustan Unilever</t>
  </si>
  <si>
    <t>HINDUNILVR</t>
  </si>
  <si>
    <t>Hitachi Energy India</t>
  </si>
  <si>
    <t>POWERINDIA</t>
  </si>
  <si>
    <t>May-2019</t>
  </si>
  <si>
    <t>Honeywell Automation</t>
  </si>
  <si>
    <t>HONAUT</t>
  </si>
  <si>
    <t>Hudco</t>
  </si>
  <si>
    <t>HUDCO</t>
  </si>
  <si>
    <t>May-2017</t>
  </si>
  <si>
    <t>Hyundai Motor India</t>
  </si>
  <si>
    <t>HYUNDAI</t>
  </si>
  <si>
    <t>Oct-2024</t>
  </si>
  <si>
    <t>ICICI Bank</t>
  </si>
  <si>
    <t>ICICIBANK</t>
  </si>
  <si>
    <t>Sep-1997</t>
  </si>
  <si>
    <t>ICICI General Insurance</t>
  </si>
  <si>
    <t>ICICIGI</t>
  </si>
  <si>
    <t>ICICI Lombard</t>
  </si>
  <si>
    <t>ICICILOMB</t>
  </si>
  <si>
    <t>ICICI Prudential Life Insurance</t>
  </si>
  <si>
    <t>ICICIPRULI</t>
  </si>
  <si>
    <t>Sep-2016</t>
  </si>
  <si>
    <t>IDFC First Bank</t>
  </si>
  <si>
    <t>IDFCFIRSTB</t>
  </si>
  <si>
    <t>Nov-2015</t>
  </si>
  <si>
    <t>IEX (Indian Energy Exchange)</t>
  </si>
  <si>
    <t>IEX</t>
  </si>
  <si>
    <t>Oct-2017</t>
  </si>
  <si>
    <t>Indiamart Intermesh</t>
  </si>
  <si>
    <t>INDIAMART</t>
  </si>
  <si>
    <t>Jul-2019</t>
  </si>
  <si>
    <t>Indian Bank</t>
  </si>
  <si>
    <t>INDIANB</t>
  </si>
  <si>
    <t>Apr-2007</t>
  </si>
  <si>
    <t>Indian Hotels</t>
  </si>
  <si>
    <t>INDHOTEL</t>
  </si>
  <si>
    <t>Indian Oil Corporation</t>
  </si>
  <si>
    <t>IOC</t>
  </si>
  <si>
    <t>Indian Railway Catering &amp; Tourism</t>
  </si>
  <si>
    <t>IRCTC</t>
  </si>
  <si>
    <t>Oct-2019</t>
  </si>
  <si>
    <t>Indian Railway Finance Corporation</t>
  </si>
  <si>
    <t>IRFC</t>
  </si>
  <si>
    <t>Jan-2021</t>
  </si>
  <si>
    <t>Indian Renewable Energy Dev Agency</t>
  </si>
  <si>
    <t>IREDA</t>
  </si>
  <si>
    <t>Nov-2023</t>
  </si>
  <si>
    <t>Indus Towers</t>
  </si>
  <si>
    <t>INDUSTOWER</t>
  </si>
  <si>
    <t>Indusind Bank</t>
  </si>
  <si>
    <t>INDUSINDBK</t>
  </si>
  <si>
    <t>Info Edge</t>
  </si>
  <si>
    <t>NAUKRI</t>
  </si>
  <si>
    <t>Nov-2006</t>
  </si>
  <si>
    <t>Infosys</t>
  </si>
  <si>
    <t>INFY</t>
  </si>
  <si>
    <t>Jun-1993</t>
  </si>
  <si>
    <t>InterGlobe Aviation (Indigo)</t>
  </si>
  <si>
    <t>INDIGO</t>
  </si>
  <si>
    <t>IPCA Laboratories</t>
  </si>
  <si>
    <t>IPCALAB</t>
  </si>
  <si>
    <t>IRB Infrastructure</t>
  </si>
  <si>
    <t>IRB</t>
  </si>
  <si>
    <t>Feb-2008</t>
  </si>
  <si>
    <t>ITC</t>
  </si>
  <si>
    <t>J&amp;K Bank</t>
  </si>
  <si>
    <t>J&amp;KBANK</t>
  </si>
  <si>
    <t>Jindal Stainless</t>
  </si>
  <si>
    <t>JSL</t>
  </si>
  <si>
    <t>Jindal Steel &amp; Power</t>
  </si>
  <si>
    <t>JINDALSTEL</t>
  </si>
  <si>
    <t>Jio Financial Services</t>
  </si>
  <si>
    <t>JIOFIN</t>
  </si>
  <si>
    <t>Aug-2023</t>
  </si>
  <si>
    <t>JK Cement</t>
  </si>
  <si>
    <t>JKCEMENT</t>
  </si>
  <si>
    <t>Sep-2006</t>
  </si>
  <si>
    <t>Jubilant FoodWorks</t>
  </si>
  <si>
    <t>JUBLFOOD</t>
  </si>
  <si>
    <t>Feb-2010</t>
  </si>
  <si>
    <t>JSW Energy</t>
  </si>
  <si>
    <t>JSWENERGY</t>
  </si>
  <si>
    <t>JSW Steel</t>
  </si>
  <si>
    <t>JSWSTEEL</t>
  </si>
  <si>
    <t>Jul-2005</t>
  </si>
  <si>
    <t>Kalyan Jewellers India</t>
  </si>
  <si>
    <t>KALYANKJIL</t>
  </si>
  <si>
    <t>Mar-2021</t>
  </si>
  <si>
    <t>Kfin Technologies</t>
  </si>
  <si>
    <t>KFINTECH</t>
  </si>
  <si>
    <t>Dec-2022</t>
  </si>
  <si>
    <t>Kotak Mahindra Bank</t>
  </si>
  <si>
    <t>KOTAKBANK</t>
  </si>
  <si>
    <t>Dec-1996</t>
  </si>
  <si>
    <t>KPIT Technologies</t>
  </si>
  <si>
    <t>KPITTECH</t>
  </si>
  <si>
    <t>Apr-2019</t>
  </si>
  <si>
    <t>LIC of India</t>
  </si>
  <si>
    <t>LICI</t>
  </si>
  <si>
    <t>LIC Housing Finance</t>
  </si>
  <si>
    <t>LICHSGFIN</t>
  </si>
  <si>
    <t>Larsen &amp; Toubro</t>
  </si>
  <si>
    <t>LT</t>
  </si>
  <si>
    <t>Laurus Labs</t>
  </si>
  <si>
    <t>LAURUSLABS</t>
  </si>
  <si>
    <t>Dec-2016</t>
  </si>
  <si>
    <t>Lloyds Metals &amp; Energy</t>
  </si>
  <si>
    <t>LLOYDSME</t>
  </si>
  <si>
    <t>LTIMindtree</t>
  </si>
  <si>
    <t>LTIM</t>
  </si>
  <si>
    <t>Nov-2022</t>
  </si>
  <si>
    <t>Lupin</t>
  </si>
  <si>
    <t>LUPIN</t>
  </si>
  <si>
    <t>M&amp;M Financial Services</t>
  </si>
  <si>
    <t>M&amp;MFIN</t>
  </si>
  <si>
    <t>Mar-2006</t>
  </si>
  <si>
    <t>Mahanagar Gas</t>
  </si>
  <si>
    <t>MGL</t>
  </si>
  <si>
    <t>Jul-2016</t>
  </si>
  <si>
    <t>Mahindra &amp; Mahindra</t>
  </si>
  <si>
    <t>M&amp;M</t>
  </si>
  <si>
    <t>Sep-1996</t>
  </si>
  <si>
    <t>Manappuram Finance</t>
  </si>
  <si>
    <t>MANAPPURAM</t>
  </si>
  <si>
    <t>Mankind Pharma</t>
  </si>
  <si>
    <t>MANKIND</t>
  </si>
  <si>
    <t>May-2023</t>
  </si>
  <si>
    <t>Marico</t>
  </si>
  <si>
    <t>MARICO</t>
  </si>
  <si>
    <t>Jan-1996</t>
  </si>
  <si>
    <t>Maruti Suzuki India</t>
  </si>
  <si>
    <t>MARUTI</t>
  </si>
  <si>
    <t>Max Financial Services</t>
  </si>
  <si>
    <t>MFSL</t>
  </si>
  <si>
    <t>Jun-2016</t>
  </si>
  <si>
    <t>Max Healthcare Institute</t>
  </si>
  <si>
    <t>MAXHEALTH</t>
  </si>
  <si>
    <t>Aug-2020</t>
  </si>
  <si>
    <t>Mazagon Dock Shipbuilders</t>
  </si>
  <si>
    <t>MAZDOCK</t>
  </si>
  <si>
    <t>MCX (Multi Commodity Exchange)</t>
  </si>
  <si>
    <t>MCX</t>
  </si>
  <si>
    <t>Mar-2012</t>
  </si>
  <si>
    <t>Mphasis</t>
  </si>
  <si>
    <t>MPHASIS</t>
  </si>
  <si>
    <t>Aug-2002</t>
  </si>
  <si>
    <t>MRF</t>
  </si>
  <si>
    <t>Muthoot Finance</t>
  </si>
  <si>
    <t>MUTHOOTFIN</t>
  </si>
  <si>
    <t>May-2011</t>
  </si>
  <si>
    <t>NALCO</t>
  </si>
  <si>
    <t>NATIONALUM</t>
  </si>
  <si>
    <t>May-1992</t>
  </si>
  <si>
    <t>Nestle India</t>
  </si>
  <si>
    <t>NESTLEIND</t>
  </si>
  <si>
    <t>NBCC</t>
  </si>
  <si>
    <t>Apr-2012</t>
  </si>
  <si>
    <t>NCC</t>
  </si>
  <si>
    <t>New India Assurance</t>
  </si>
  <si>
    <t>NIACL</t>
  </si>
  <si>
    <t>NHPC</t>
  </si>
  <si>
    <t>Sep-2009</t>
  </si>
  <si>
    <t>NMDC</t>
  </si>
  <si>
    <t>Mar-2010</t>
  </si>
  <si>
    <t>NTPC</t>
  </si>
  <si>
    <t>Nov-2004</t>
  </si>
  <si>
    <t>Oberoi Realty</t>
  </si>
  <si>
    <t>OBEROIRLTY</t>
  </si>
  <si>
    <t>Oct-2010</t>
  </si>
  <si>
    <t>Oil &amp; Natural Gas Corporation</t>
  </si>
  <si>
    <t>ONGC</t>
  </si>
  <si>
    <t>Oil India</t>
  </si>
  <si>
    <t>OIL</t>
  </si>
  <si>
    <t>Oracle Financial Services</t>
  </si>
  <si>
    <t>OFSS</t>
  </si>
  <si>
    <t>Page Industries</t>
  </si>
  <si>
    <t>PAGEIND</t>
  </si>
  <si>
    <t>Patanjali Foods</t>
  </si>
  <si>
    <t>PATANJALI</t>
  </si>
  <si>
    <t>Paytm (One97 Communications)</t>
  </si>
  <si>
    <t>PAYTM</t>
  </si>
  <si>
    <t>Persistent Systems</t>
  </si>
  <si>
    <t>PERSISTENT</t>
  </si>
  <si>
    <t>Apr-2010</t>
  </si>
  <si>
    <t>Petronet LNG</t>
  </si>
  <si>
    <t>PETRONET</t>
  </si>
  <si>
    <t>Mar-2004</t>
  </si>
  <si>
    <t>Phoenix Mills</t>
  </si>
  <si>
    <t>PHOENIXLTD</t>
  </si>
  <si>
    <t>Pidilite Industries</t>
  </si>
  <si>
    <t>PIDILITIND</t>
  </si>
  <si>
    <t>Piramal Enterprises</t>
  </si>
  <si>
    <t>PEL</t>
  </si>
  <si>
    <t>PI Industries</t>
  </si>
  <si>
    <t>PIIND</t>
  </si>
  <si>
    <t>Polycab India</t>
  </si>
  <si>
    <t>POLYCAB</t>
  </si>
  <si>
    <t>Power Finance Corporation</t>
  </si>
  <si>
    <t>PFC</t>
  </si>
  <si>
    <t>Feb-2007</t>
  </si>
  <si>
    <t>Power Grid Corporation</t>
  </si>
  <si>
    <t>POWERGRID</t>
  </si>
  <si>
    <t>Oct-2007</t>
  </si>
  <si>
    <t>Prestige Estates Projects</t>
  </si>
  <si>
    <t>PRESTIGE</t>
  </si>
  <si>
    <t>Punjab National Bank</t>
  </si>
  <si>
    <t>PNB</t>
  </si>
  <si>
    <t>Rail Vikas Nigam</t>
  </si>
  <si>
    <t>RVNL</t>
  </si>
  <si>
    <t>Rashtriya Chemicals &amp; Fertilizers</t>
  </si>
  <si>
    <t>RCF</t>
  </si>
  <si>
    <t>Rec</t>
  </si>
  <si>
    <t>RECLTD</t>
  </si>
  <si>
    <t>Mar-2008</t>
  </si>
  <si>
    <t>Reliance Industries</t>
  </si>
  <si>
    <t>RELIANCE</t>
  </si>
  <si>
    <t>Samvardhana Motherson International</t>
  </si>
  <si>
    <t>MOTHERSON</t>
  </si>
  <si>
    <t>Jul-1993</t>
  </si>
  <si>
    <t>SBI Cards &amp; Payment Services</t>
  </si>
  <si>
    <t>SBICARD</t>
  </si>
  <si>
    <t>Mar-2020</t>
  </si>
  <si>
    <t>SBI Life Insurance</t>
  </si>
  <si>
    <t>SBILIFE</t>
  </si>
  <si>
    <t>Shree Cement</t>
  </si>
  <si>
    <t>SHREECEM</t>
  </si>
  <si>
    <t>Shriram Finance</t>
  </si>
  <si>
    <t>SHRIRAMFIN</t>
  </si>
  <si>
    <t>Siemens</t>
  </si>
  <si>
    <t>SIEMENS</t>
  </si>
  <si>
    <t>Solar Industries</t>
  </si>
  <si>
    <t>SOLARINDS</t>
  </si>
  <si>
    <t>Sona BLW Precision Forgings</t>
  </si>
  <si>
    <t>SONACOMS</t>
  </si>
  <si>
    <t>Jun-2021</t>
  </si>
  <si>
    <t>SRF</t>
  </si>
  <si>
    <t>State Bank of India</t>
  </si>
  <si>
    <t>SBIN</t>
  </si>
  <si>
    <t>Steel Authority of India</t>
  </si>
  <si>
    <t>SAIL</t>
  </si>
  <si>
    <t>Sun Pharmaceutical Industries</t>
  </si>
  <si>
    <t>SUNPHARMA</t>
  </si>
  <si>
    <t>Feb-1995</t>
  </si>
  <si>
    <t>Sun TV Network</t>
  </si>
  <si>
    <t>SUNTV</t>
  </si>
  <si>
    <t>Apr-2006</t>
  </si>
  <si>
    <t>Suzlon Energy</t>
  </si>
  <si>
    <t>SUZLON</t>
  </si>
  <si>
    <t>Oct-2005</t>
  </si>
  <si>
    <t>Syngene International</t>
  </si>
  <si>
    <t>SYNGENE</t>
  </si>
  <si>
    <t>Aug-2015</t>
  </si>
  <si>
    <t>Tata Chemicals</t>
  </si>
  <si>
    <t>TATACHEM</t>
  </si>
  <si>
    <t>Tata Communications</t>
  </si>
  <si>
    <t>TATACOMM</t>
  </si>
  <si>
    <t>Tata Consumer Products</t>
  </si>
  <si>
    <t>TATACONSUM</t>
  </si>
  <si>
    <t>Tata Consultancy Services</t>
  </si>
  <si>
    <t>TCS</t>
  </si>
  <si>
    <t>Aug-2004</t>
  </si>
  <si>
    <t>Tata Elxsi</t>
  </si>
  <si>
    <t>TATAELXSI</t>
  </si>
  <si>
    <t>Tata Investment Corporation</t>
  </si>
  <si>
    <t>TATAINVEST</t>
  </si>
  <si>
    <t>Tata Motors</t>
  </si>
  <si>
    <t>TATAMOTORS</t>
  </si>
  <si>
    <t>Jul-1998</t>
  </si>
  <si>
    <t>Tata Power</t>
  </si>
  <si>
    <t>TATAPOWER</t>
  </si>
  <si>
    <t>Tata Steel</t>
  </si>
  <si>
    <t>TATASTEEL</t>
  </si>
  <si>
    <t>Tata Technologies</t>
  </si>
  <si>
    <t>TATATECH</t>
  </si>
  <si>
    <t>Tech Mahindra</t>
  </si>
  <si>
    <t>TECHM</t>
  </si>
  <si>
    <t>The Ramco Cements</t>
  </si>
  <si>
    <t>RAMCOCEM</t>
  </si>
  <si>
    <t>Titan Company</t>
  </si>
  <si>
    <t>TITAN</t>
  </si>
  <si>
    <t>Torrent Pharmaceuticals</t>
  </si>
  <si>
    <t>TORNTPHARM</t>
  </si>
  <si>
    <t>Torrent Power</t>
  </si>
  <si>
    <t>TORNTPOWER</t>
  </si>
  <si>
    <t>Dec-2004</t>
  </si>
  <si>
    <t>Trent</t>
  </si>
  <si>
    <t>TRENT</t>
  </si>
  <si>
    <t>Tube Investments of India</t>
  </si>
  <si>
    <t>TIINDIA</t>
  </si>
  <si>
    <t>TVS Motor Company</t>
  </si>
  <si>
    <t>TVSMOTOR</t>
  </si>
  <si>
    <t>UltraTech Cement</t>
  </si>
  <si>
    <t>ULTRACEMCO</t>
  </si>
  <si>
    <t>Union Bank of India</t>
  </si>
  <si>
    <t>UNIONBANK</t>
  </si>
  <si>
    <t>United Breweries</t>
  </si>
  <si>
    <t>UBL</t>
  </si>
  <si>
    <t>United Spirits</t>
  </si>
  <si>
    <t>UNITDSPR</t>
  </si>
  <si>
    <t>UNO Minda</t>
  </si>
  <si>
    <t>UNOMINDA</t>
  </si>
  <si>
    <t>UPL</t>
  </si>
  <si>
    <t>Varun Beverages</t>
  </si>
  <si>
    <t>VBL</t>
  </si>
  <si>
    <t>Nov-2016</t>
  </si>
  <si>
    <t>Vedanta</t>
  </si>
  <si>
    <t>VEDL</t>
  </si>
  <si>
    <t>Vodafone Idea</t>
  </si>
  <si>
    <t>IDEA</t>
  </si>
  <si>
    <t>Voltas</t>
  </si>
  <si>
    <t>VOLTAS</t>
  </si>
  <si>
    <t>Wipro</t>
  </si>
  <si>
    <t>WIPRO</t>
  </si>
  <si>
    <t>Yes Bank</t>
  </si>
  <si>
    <t>YESBANK</t>
  </si>
  <si>
    <t>Zee Entertainment</t>
  </si>
  <si>
    <t>ZEEL</t>
  </si>
  <si>
    <t>Zomato (Eternal)</t>
  </si>
  <si>
    <t>ETERNAL</t>
  </si>
  <si>
    <t>Jul-2021</t>
  </si>
  <si>
    <t>Zydus Lifesciences</t>
  </si>
  <si>
    <t>ZYDUSLIFE</t>
  </si>
  <si>
    <t>NIFTY 50</t>
  </si>
  <si>
    <t>Listing Month</t>
  </si>
  <si>
    <t>OPEN 1st Jan(INR)</t>
  </si>
  <si>
    <t>OPEN 1st April(INR)</t>
  </si>
  <si>
    <t>Today's Listing Price(INR)</t>
  </si>
  <si>
    <t>Jan Difference</t>
  </si>
  <si>
    <t>April Difference</t>
  </si>
  <si>
    <t>TMPV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</si>
</sst>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&quot; &quot;d&quot;, &quot;yyyy"/>
  </numFmts>
  <fonts count="6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0.0"/>
      <color theme="1"/>
      <name val="Arial"/>
    </font>
    <font>
      <b/>
      <sz val="12.0"/>
      <color theme="1"/>
      <name val="Times New Roman"/>
    </font>
    <font>
      <sz val="12.0"/>
      <color theme="1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F5F9FC"/>
        <bgColor rgb="FFF5F9FC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4" xfId="0" applyAlignment="1" applyFont="1" applyNumberForma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2" fontId="3" numFmtId="0" xfId="0" applyAlignment="1" applyFill="1" applyFont="1">
      <alignment horizontal="center" vertical="center"/>
    </xf>
    <xf borderId="0" fillId="2" fontId="3" numFmtId="0" xfId="0" applyAlignment="1" applyFont="1">
      <alignment horizontal="left" vertical="center"/>
    </xf>
    <xf borderId="0" fillId="3" fontId="4" numFmtId="0" xfId="0" applyAlignment="1" applyFill="1" applyFont="1">
      <alignment vertical="bottom"/>
    </xf>
    <xf borderId="0" fillId="3" fontId="5" numFmtId="164" xfId="0" applyAlignment="1" applyFont="1" applyNumberFormat="1">
      <alignment horizontal="right" vertical="bottom"/>
    </xf>
    <xf borderId="0" fillId="3" fontId="5" numFmtId="4" xfId="0" applyAlignment="1" applyFont="1" applyNumberFormat="1">
      <alignment horizontal="right" vertical="bottom"/>
    </xf>
    <xf borderId="0" fillId="0" fontId="2" numFmtId="0" xfId="0" applyFont="1"/>
    <xf borderId="0" fillId="0" fontId="2" numFmtId="4" xfId="0" applyFont="1" applyNumberFormat="1"/>
    <xf borderId="0" fillId="0" fontId="2" numFmtId="0" xfId="0" applyAlignment="1" applyFont="1">
      <alignment horizontal="left" readingOrder="0" shrinkToFit="0" vertical="center" wrapText="0"/>
    </xf>
    <xf borderId="0" fillId="0" fontId="2" numFmtId="164" xfId="0" applyAlignment="1" applyFont="1" applyNumberFormat="1">
      <alignment horizontal="left" readingOrder="0" shrinkToFit="0" vertical="center" wrapText="0"/>
    </xf>
    <xf borderId="0" fillId="0" fontId="2" numFmtId="4" xfId="0" applyAlignment="1" applyFont="1" applyNumberForma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164" xfId="0" applyAlignment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F&amp;O Stock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NIFTY 50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K225" displayName="Table1" name="Table1" id="1">
  <autoFilter ref="$A$1:$K$225"/>
  <tableColumns count="11">
    <tableColumn name="S.No" id="1"/>
    <tableColumn name="Stock Name" id="2"/>
    <tableColumn name="NSE Symbol" id="3"/>
    <tableColumn name="Listing Month (NSE)" id="4"/>
    <tableColumn name="Jan 1, 2026 Open Price (₹)" id="5"/>
    <tableColumn name="April 1, 2026 Open Price (₹)" id="6"/>
    <tableColumn name="May 2, 2026 Open Price (₹)" id="7"/>
    <tableColumn name="today's current price" id="8"/>
    <tableColumn name="january price difference" id="9"/>
    <tableColumn name="April Price Difference" id="10"/>
    <tableColumn name="May Price Difference" id="11"/>
  </tableColumns>
  <tableStyleInfo name="F&amp;O Stocks-style" showColumnStripes="0" showFirstColumn="1" showLastColumn="1" showRowStripes="1"/>
</table>
</file>

<file path=xl/tables/table2.xml><?xml version="1.0" encoding="utf-8"?>
<table xmlns="http://schemas.openxmlformats.org/spreadsheetml/2006/main" ref="A1:G51" displayName="Table2" name="Table2" id="2">
  <tableColumns count="7">
    <tableColumn name="NIFTY 50" id="1"/>
    <tableColumn name="Listing Month" id="2"/>
    <tableColumn name="OPEN 1st Jan(INR)" id="3"/>
    <tableColumn name="OPEN 1st April(INR)" id="4"/>
    <tableColumn name="Today's Listing Price(INR)" id="5"/>
    <tableColumn name="Jan Difference" id="6"/>
    <tableColumn name="April Difference" id="7"/>
  </tableColumns>
  <tableStyleInfo name="NIFTY 50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1.0"/>
    <col customWidth="1" min="2" max="2" width="40.14"/>
    <col customWidth="1" min="3" max="3" width="16.29"/>
    <col customWidth="1" min="4" max="4" width="17.14"/>
    <col customWidth="1" min="5" max="5" width="17.43"/>
    <col customWidth="1" min="6" max="6" width="21.0"/>
    <col customWidth="1" min="7" max="8" width="21.71"/>
    <col customWidth="1" min="9" max="9" width="18.14"/>
    <col customWidth="1" min="10" max="10" width="19.0"/>
    <col customWidth="1" min="11" max="11" width="17.86"/>
    <col customWidth="1" min="12" max="27" width="8.71"/>
  </cols>
  <sheetData>
    <row r="1" ht="47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2.5" customHeight="1">
      <c r="A2" s="2">
        <v>1.0</v>
      </c>
      <c r="B2" s="2" t="s">
        <v>11</v>
      </c>
      <c r="C2" s="3" t="s">
        <v>12</v>
      </c>
      <c r="D2" s="2" t="s">
        <v>13</v>
      </c>
      <c r="E2" s="4">
        <f>IFERROR(__xludf.DUMMYFUNCTION("IFERROR(INDEX(GOOGLEFINANCE(""NSE:""&amp;C2,""open"",DATE(2026,1,1)),2,2),""N/A"")"),1198.0)</f>
        <v>1198</v>
      </c>
      <c r="F2" s="4">
        <f>IFERROR(__xludf.DUMMYFUNCTION("IFERROR(INDEX(GOOGLEFINANCE(""NSE:""&amp;C2,""open"",DATE(2026,4,1)),2,2),""N/A"")"),966.05)</f>
        <v>966.05</v>
      </c>
      <c r="G2" s="4">
        <f>IFERROR(__xludf.DUMMYFUNCTION("IFERROR(INDEX(GOOGLEFINANCE(""NSE:""&amp;C2,""open"",DATE(2026,5,2)),2,2),""N/A"")"),1041.0)</f>
        <v>1041</v>
      </c>
      <c r="H2" s="5">
        <f>IFERROR(__xludf.DUMMYFUNCTION("GOOGLEFINANCE(""NSE:""&amp;C2,""price"")"),1069.5)</f>
        <v>1069.5</v>
      </c>
      <c r="I2" s="5" t="str">
        <f t="shared" ref="I2:I225" si="1">IF(H2&gt;E2,"🟢 +"&amp;TEXT((H2-E2)/E2,"0.0%"), "🔴 "&amp;TEXT((H2-E2)/E2,"0.0%"))</f>
        <v>🔴 -10.7%</v>
      </c>
      <c r="J2" s="5" t="str">
        <f t="shared" ref="J2:J225" si="2">IF(H2&gt;F2,"🟢 +"&amp;TEXT((F2-H2)/H2,"0.0%"), "🔴 "&amp;TEXT((F2-H2)/H2,"0.0%"))</f>
        <v>🟢 +-9.7%</v>
      </c>
      <c r="K2" s="6" t="str">
        <f t="shared" ref="K2:K225" si="3">IF(H2&gt;G2,"🟢 +"&amp;TEXT((G2-H2)/H2,"0.0%"), "🔴 "&amp;TEXT((G2-H2)/H2,"0.0%"))</f>
        <v>🟢 +-2.7%</v>
      </c>
    </row>
    <row r="3" ht="22.5" customHeight="1">
      <c r="A3" s="2">
        <v>2.0</v>
      </c>
      <c r="B3" s="2" t="s">
        <v>14</v>
      </c>
      <c r="C3" s="2" t="s">
        <v>15</v>
      </c>
      <c r="D3" s="2" t="s">
        <v>16</v>
      </c>
      <c r="E3" s="4">
        <f>IFERROR(__xludf.DUMMYFUNCTION("IFERROR(INDEX(GOOGLEFINANCE(""NSE:""&amp;C3,""open"",DATE(2026,1,1)),2,2),""N/A"")"),2249.0)</f>
        <v>2249</v>
      </c>
      <c r="F3" s="4">
        <f>IFERROR(__xludf.DUMMYFUNCTION("IFERROR(INDEX(GOOGLEFINANCE(""NSE:""&amp;C3,""open"",DATE(2026,4,1)),2,2),""N/A"")"),1825.0)</f>
        <v>1825</v>
      </c>
      <c r="G3" s="4">
        <f>IFERROR(__xludf.DUMMYFUNCTION("IFERROR(INDEX(GOOGLEFINANCE(""NSE:""&amp;C3,""open"",DATE(2026,5,2)),2,2),""N/A"")"),2390.4)</f>
        <v>2390.4</v>
      </c>
      <c r="H3" s="5">
        <f>IFERROR(__xludf.DUMMYFUNCTION("GOOGLEFINANCE(""NSE:""&amp;C3,""price"")"),2462.0)</f>
        <v>2462</v>
      </c>
      <c r="I3" s="5" t="str">
        <f t="shared" si="1"/>
        <v>🟢 +9.5%</v>
      </c>
      <c r="J3" s="5" t="str">
        <f t="shared" si="2"/>
        <v>🟢 +-25.9%</v>
      </c>
      <c r="K3" s="6" t="str">
        <f t="shared" si="3"/>
        <v>🟢 +-2.9%</v>
      </c>
    </row>
    <row r="4" ht="22.5" customHeight="1">
      <c r="A4" s="2">
        <v>3.0</v>
      </c>
      <c r="B4" s="2" t="s">
        <v>17</v>
      </c>
      <c r="C4" s="2" t="s">
        <v>18</v>
      </c>
      <c r="D4" s="2" t="s">
        <v>19</v>
      </c>
      <c r="E4" s="4">
        <f>IFERROR(__xludf.DUMMYFUNCTION("IFERROR(INDEX(GOOGLEFINANCE(""NSE:""&amp;C4,""open"",DATE(2026,1,1)),2,2),""N/A"")"),1029.0)</f>
        <v>1029</v>
      </c>
      <c r="F4" s="4">
        <f>IFERROR(__xludf.DUMMYFUNCTION("IFERROR(INDEX(GOOGLEFINANCE(""NSE:""&amp;C4,""open"",DATE(2026,4,1)),2,2),""N/A"")"),953.95)</f>
        <v>953.95</v>
      </c>
      <c r="G4" s="4">
        <f>IFERROR(__xludf.DUMMYFUNCTION("IFERROR(INDEX(GOOGLEFINANCE(""NSE:""&amp;C4,""open"",DATE(2026,5,2)),2,2),""N/A"")"),1357.0)</f>
        <v>1357</v>
      </c>
      <c r="H4" s="5">
        <f>IFERROR(__xludf.DUMMYFUNCTION("GOOGLEFINANCE(""NSE:""&amp;C4,""price"")"),1408.5)</f>
        <v>1408.5</v>
      </c>
      <c r="I4" s="5" t="str">
        <f t="shared" si="1"/>
        <v>🟢 +36.9%</v>
      </c>
      <c r="J4" s="5" t="str">
        <f t="shared" si="2"/>
        <v>🟢 +-32.3%</v>
      </c>
      <c r="K4" s="6" t="str">
        <f t="shared" si="3"/>
        <v>🟢 +-3.7%</v>
      </c>
    </row>
    <row r="5" ht="22.5" customHeight="1">
      <c r="A5" s="2">
        <v>4.0</v>
      </c>
      <c r="B5" s="2" t="s">
        <v>20</v>
      </c>
      <c r="C5" s="2" t="s">
        <v>21</v>
      </c>
      <c r="D5" s="2" t="s">
        <v>22</v>
      </c>
      <c r="E5" s="4">
        <f>IFERROR(__xludf.DUMMYFUNCTION("IFERROR(INDEX(GOOGLEFINANCE(""NSE:""&amp;C5,""open"",DATE(2026,1,1)),2,2),""N/A"")"),1019.7)</f>
        <v>1019.7</v>
      </c>
      <c r="F5" s="4">
        <f>IFERROR(__xludf.DUMMYFUNCTION("IFERROR(INDEX(GOOGLEFINANCE(""NSE:""&amp;C5,""open"",DATE(2026,4,1)),2,2),""N/A"")"),829.95)</f>
        <v>829.95</v>
      </c>
      <c r="G5" s="4">
        <f>IFERROR(__xludf.DUMMYFUNCTION("IFERROR(INDEX(GOOGLEFINANCE(""NSE:""&amp;C5,""open"",DATE(2026,5,2)),2,2),""N/A"")"),1232.4)</f>
        <v>1232.4</v>
      </c>
      <c r="H5" s="5">
        <f>IFERROR(__xludf.DUMMYFUNCTION("GOOGLEFINANCE(""NSE:""&amp;C5,""price"")"),1331.0)</f>
        <v>1331</v>
      </c>
      <c r="I5" s="5" t="str">
        <f t="shared" si="1"/>
        <v>🟢 +30.5%</v>
      </c>
      <c r="J5" s="5" t="str">
        <f t="shared" si="2"/>
        <v>🟢 +-37.6%</v>
      </c>
      <c r="K5" s="6" t="str">
        <f t="shared" si="3"/>
        <v>🟢 +-7.4%</v>
      </c>
    </row>
    <row r="6" ht="22.5" customHeight="1">
      <c r="A6" s="2">
        <v>5.0</v>
      </c>
      <c r="B6" s="2" t="s">
        <v>23</v>
      </c>
      <c r="C6" s="2" t="s">
        <v>24</v>
      </c>
      <c r="D6" s="2" t="s">
        <v>25</v>
      </c>
      <c r="E6" s="4">
        <f>IFERROR(__xludf.DUMMYFUNCTION("IFERROR(INDEX(GOOGLEFINANCE(""NSE:""&amp;C6,""open"",DATE(2026,1,1)),2,2),""N/A"")"),1472.8)</f>
        <v>1472.8</v>
      </c>
      <c r="F6" s="4">
        <f>IFERROR(__xludf.DUMMYFUNCTION("IFERROR(INDEX(GOOGLEFINANCE(""NSE:""&amp;C6,""open"",DATE(2026,4,1)),2,2),""N/A"")"),1351.2)</f>
        <v>1351.2</v>
      </c>
      <c r="G6" s="4">
        <f>IFERROR(__xludf.DUMMYFUNCTION("IFERROR(INDEX(GOOGLEFINANCE(""NSE:""&amp;C6,""open"",DATE(2026,5,2)),2,2),""N/A"")"),1702.0)</f>
        <v>1702</v>
      </c>
      <c r="H6" s="5">
        <f>IFERROR(__xludf.DUMMYFUNCTION("GOOGLEFINANCE(""NSE:""&amp;C6,""price"")"),1726.8)</f>
        <v>1726.8</v>
      </c>
      <c r="I6" s="5" t="str">
        <f t="shared" si="1"/>
        <v>🟢 +17.2%</v>
      </c>
      <c r="J6" s="5" t="str">
        <f t="shared" si="2"/>
        <v>🟢 +-21.8%</v>
      </c>
      <c r="K6" s="6" t="str">
        <f t="shared" si="3"/>
        <v>🟢 +-1.4%</v>
      </c>
    </row>
    <row r="7" ht="22.5" customHeight="1">
      <c r="A7" s="2">
        <v>6.0</v>
      </c>
      <c r="B7" s="2" t="s">
        <v>26</v>
      </c>
      <c r="C7" s="2" t="s">
        <v>27</v>
      </c>
      <c r="D7" s="2" t="s">
        <v>28</v>
      </c>
      <c r="E7" s="4">
        <f>IFERROR(__xludf.DUMMYFUNCTION("IFERROR(INDEX(GOOGLEFINANCE(""NSE:""&amp;C7,""open"",DATE(2026,1,1)),2,2),""N/A"")"),143.25)</f>
        <v>143.25</v>
      </c>
      <c r="F7" s="4">
        <f>IFERROR(__xludf.DUMMYFUNCTION("IFERROR(INDEX(GOOGLEFINANCE(""NSE:""&amp;C7,""open"",DATE(2026,4,1)),2,2),""N/A"")"),155.0)</f>
        <v>155</v>
      </c>
      <c r="G7" s="4">
        <f>IFERROR(__xludf.DUMMYFUNCTION("IFERROR(INDEX(GOOGLEFINANCE(""NSE:""&amp;C7,""open"",DATE(2026,5,2)),2,2),""N/A"")"),223.0)</f>
        <v>223</v>
      </c>
      <c r="H7" s="5">
        <f>IFERROR(__xludf.DUMMYFUNCTION("GOOGLEFINANCE(""NSE:""&amp;C7,""price"")"),229.95)</f>
        <v>229.95</v>
      </c>
      <c r="I7" s="5" t="str">
        <f t="shared" si="1"/>
        <v>🟢 +60.5%</v>
      </c>
      <c r="J7" s="5" t="str">
        <f t="shared" si="2"/>
        <v>🟢 +-32.6%</v>
      </c>
      <c r="K7" s="6" t="str">
        <f t="shared" si="3"/>
        <v>🟢 +-3.0%</v>
      </c>
    </row>
    <row r="8" ht="22.5" customHeight="1">
      <c r="A8" s="2">
        <v>7.0</v>
      </c>
      <c r="B8" s="2" t="s">
        <v>29</v>
      </c>
      <c r="C8" s="2" t="s">
        <v>30</v>
      </c>
      <c r="D8" s="2" t="s">
        <v>31</v>
      </c>
      <c r="E8" s="4">
        <f>IFERROR(__xludf.DUMMYFUNCTION("IFERROR(INDEX(GOOGLEFINANCE(""NSE:""&amp;C8,""open"",DATE(2026,1,1)),2,2),""N/A"")"),567.35)</f>
        <v>567.35</v>
      </c>
      <c r="F8" s="4">
        <f>IFERROR(__xludf.DUMMYFUNCTION("IFERROR(INDEX(GOOGLEFINANCE(""NSE:""&amp;C8,""open"",DATE(2026,4,1)),2,2),""N/A"")"),530.0)</f>
        <v>530</v>
      </c>
      <c r="G8" s="4">
        <f>IFERROR(__xludf.DUMMYFUNCTION("IFERROR(INDEX(GOOGLEFINANCE(""NSE:""&amp;C8,""open"",DATE(2026,5,2)),2,2),""N/A"")"),641.95)</f>
        <v>641.95</v>
      </c>
      <c r="H8" s="5">
        <f>IFERROR(__xludf.DUMMYFUNCTION("GOOGLEFINANCE(""NSE:""&amp;C8,""price"")"),648.0)</f>
        <v>648</v>
      </c>
      <c r="I8" s="5" t="str">
        <f t="shared" si="1"/>
        <v>🟢 +14.2%</v>
      </c>
      <c r="J8" s="5" t="str">
        <f t="shared" si="2"/>
        <v>🟢 +-18.2%</v>
      </c>
      <c r="K8" s="6" t="str">
        <f t="shared" si="3"/>
        <v>🟢 +-0.9%</v>
      </c>
    </row>
    <row r="9" ht="22.5" customHeight="1">
      <c r="A9" s="2">
        <v>8.0</v>
      </c>
      <c r="B9" s="2" t="s">
        <v>32</v>
      </c>
      <c r="C9" s="2" t="s">
        <v>33</v>
      </c>
      <c r="D9" s="2" t="s">
        <v>34</v>
      </c>
      <c r="E9" s="4">
        <f>IFERROR(__xludf.DUMMYFUNCTION("IFERROR(INDEX(GOOGLEFINANCE(""NSE:""&amp;C9,""open"",DATE(2026,1,1)),2,2),""N/A"")"),357.7)</f>
        <v>357.7</v>
      </c>
      <c r="F9" s="4">
        <f>IFERROR(__xludf.DUMMYFUNCTION("IFERROR(INDEX(GOOGLEFINANCE(""NSE:""&amp;C9,""open"",DATE(2026,4,1)),2,2),""N/A"")"),303.0)</f>
        <v>303</v>
      </c>
      <c r="G9" s="4">
        <f>IFERROR(__xludf.DUMMYFUNCTION("IFERROR(INDEX(GOOGLEFINANCE(""NSE:""&amp;C9,""open"",DATE(2026,5,2)),2,2),""N/A"")"),347.0)</f>
        <v>347</v>
      </c>
      <c r="H9" s="5">
        <f>IFERROR(__xludf.DUMMYFUNCTION("GOOGLEFINANCE(""NSE:""&amp;C9,""price"")"),360.5)</f>
        <v>360.5</v>
      </c>
      <c r="I9" s="5" t="str">
        <f t="shared" si="1"/>
        <v>🟢 +0.8%</v>
      </c>
      <c r="J9" s="5" t="str">
        <f t="shared" si="2"/>
        <v>🟢 +-16.0%</v>
      </c>
      <c r="K9" s="6" t="str">
        <f t="shared" si="3"/>
        <v>🟢 +-3.7%</v>
      </c>
    </row>
    <row r="10" ht="22.5" customHeight="1">
      <c r="A10" s="2">
        <v>9.0</v>
      </c>
      <c r="B10" s="2" t="s">
        <v>35</v>
      </c>
      <c r="C10" s="2" t="s">
        <v>36</v>
      </c>
      <c r="D10" s="2" t="s">
        <v>37</v>
      </c>
      <c r="E10" s="4">
        <f>IFERROR(__xludf.DUMMYFUNCTION("IFERROR(INDEX(GOOGLEFINANCE(""NSE:""&amp;C10,""open"",DATE(2026,1,1)),2,2),""N/A"")"),76.75)</f>
        <v>76.75</v>
      </c>
      <c r="F10" s="4">
        <f>IFERROR(__xludf.DUMMYFUNCTION("IFERROR(INDEX(GOOGLEFINANCE(""NSE:""&amp;C10,""open"",DATE(2026,4,1)),2,2),""N/A"")"),55.5)</f>
        <v>55.5</v>
      </c>
      <c r="G10" s="4">
        <f>IFERROR(__xludf.DUMMYFUNCTION("IFERROR(INDEX(GOOGLEFINANCE(""NSE:""&amp;C10,""open"",DATE(2026,5,2)),2,2),""N/A"")"),64.52)</f>
        <v>64.52</v>
      </c>
      <c r="H10" s="5">
        <f>IFERROR(__xludf.DUMMYFUNCTION("GOOGLEFINANCE(""NSE:""&amp;C10,""price"")"),63.96)</f>
        <v>63.96</v>
      </c>
      <c r="I10" s="5" t="str">
        <f t="shared" si="1"/>
        <v>🔴 -16.7%</v>
      </c>
      <c r="J10" s="5" t="str">
        <f t="shared" si="2"/>
        <v>🟢 +-13.2%</v>
      </c>
      <c r="K10" s="6" t="str">
        <f t="shared" si="3"/>
        <v>🔴 0.9%</v>
      </c>
    </row>
    <row r="11" ht="22.5" customHeight="1">
      <c r="A11" s="2">
        <v>10.0</v>
      </c>
      <c r="B11" s="2" t="s">
        <v>38</v>
      </c>
      <c r="C11" s="2" t="s">
        <v>39</v>
      </c>
      <c r="D11" s="2" t="s">
        <v>40</v>
      </c>
      <c r="E11" s="4">
        <f>IFERROR(__xludf.DUMMYFUNCTION("IFERROR(INDEX(GOOGLEFINANCE(""NSE:""&amp;C11,""open"",DATE(2026,1,1)),2,2),""N/A"")"),5477.0)</f>
        <v>5477</v>
      </c>
      <c r="F11" s="4">
        <f>IFERROR(__xludf.DUMMYFUNCTION("IFERROR(INDEX(GOOGLEFINANCE(""NSE:""&amp;C11,""open"",DATE(2026,4,1)),2,2),""N/A"")"),5320.5)</f>
        <v>5320.5</v>
      </c>
      <c r="G11" s="4">
        <f>IFERROR(__xludf.DUMMYFUNCTION("IFERROR(INDEX(GOOGLEFINANCE(""NSE:""&amp;C11,""open"",DATE(2026,5,2)),2,2),""N/A"")"),5382.0)</f>
        <v>5382</v>
      </c>
      <c r="H11" s="5">
        <f>IFERROR(__xludf.DUMMYFUNCTION("GOOGLEFINANCE(""NSE:""&amp;C11,""price"")"),5404.5)</f>
        <v>5404.5</v>
      </c>
      <c r="I11" s="5" t="str">
        <f t="shared" si="1"/>
        <v>🔴 -1.3%</v>
      </c>
      <c r="J11" s="5" t="str">
        <f t="shared" si="2"/>
        <v>🟢 +-1.6%</v>
      </c>
      <c r="K11" s="6" t="str">
        <f t="shared" si="3"/>
        <v>🟢 +-0.4%</v>
      </c>
    </row>
    <row r="12" ht="22.5" customHeight="1">
      <c r="A12" s="2">
        <v>11.0</v>
      </c>
      <c r="B12" s="2" t="s">
        <v>41</v>
      </c>
      <c r="C12" s="2" t="s">
        <v>42</v>
      </c>
      <c r="D12" s="2" t="s">
        <v>16</v>
      </c>
      <c r="E12" s="4">
        <f>IFERROR(__xludf.DUMMYFUNCTION("IFERROR(INDEX(GOOGLEFINANCE(""NSE:""&amp;C12,""open"",DATE(2026,1,1)),2,2),""N/A"")"),556.9)</f>
        <v>556.9</v>
      </c>
      <c r="F12" s="4">
        <f>IFERROR(__xludf.DUMMYFUNCTION("IFERROR(INDEX(GOOGLEFINANCE(""NSE:""&amp;C12,""open"",DATE(2026,4,1)),2,2),""N/A"")"),415.0)</f>
        <v>415</v>
      </c>
      <c r="G12" s="4">
        <f>IFERROR(__xludf.DUMMYFUNCTION("IFERROR(INDEX(GOOGLEFINANCE(""NSE:""&amp;C12,""open"",DATE(2026,5,2)),2,2),""N/A"")"),446.0)</f>
        <v>446</v>
      </c>
      <c r="H12" s="5">
        <f>IFERROR(__xludf.DUMMYFUNCTION("GOOGLEFINANCE(""NSE:""&amp;C12,""price"")"),433.9)</f>
        <v>433.9</v>
      </c>
      <c r="I12" s="5" t="str">
        <f t="shared" si="1"/>
        <v>🔴 -22.1%</v>
      </c>
      <c r="J12" s="5" t="str">
        <f t="shared" si="2"/>
        <v>🟢 +-4.4%</v>
      </c>
      <c r="K12" s="6" t="str">
        <f t="shared" si="3"/>
        <v>🔴 2.8%</v>
      </c>
    </row>
    <row r="13" ht="22.5" customHeight="1">
      <c r="A13" s="2">
        <v>12.0</v>
      </c>
      <c r="B13" s="2" t="s">
        <v>43</v>
      </c>
      <c r="C13" s="2" t="s">
        <v>44</v>
      </c>
      <c r="D13" s="2" t="s">
        <v>45</v>
      </c>
      <c r="E13" s="4">
        <f>IFERROR(__xludf.DUMMYFUNCTION("IFERROR(INDEX(GOOGLEFINANCE(""NSE:""&amp;C13,""open"",DATE(2026,1,1)),2,2),""N/A"")"),235.2)</f>
        <v>235.2</v>
      </c>
      <c r="F13" s="4">
        <f>IFERROR(__xludf.DUMMYFUNCTION("IFERROR(INDEX(GOOGLEFINANCE(""NSE:""&amp;C13,""open"",DATE(2026,4,1)),2,2),""N/A"")"),238.96)</f>
        <v>238.96</v>
      </c>
      <c r="G13" s="4">
        <f>IFERROR(__xludf.DUMMYFUNCTION("IFERROR(INDEX(GOOGLEFINANCE(""NSE:""&amp;C13,""open"",DATE(2026,5,2)),2,2),""N/A"")"),308.7)</f>
        <v>308.7</v>
      </c>
      <c r="H13" s="5">
        <f>IFERROR(__xludf.DUMMYFUNCTION("GOOGLEFINANCE(""NSE:""&amp;C13,""price"")"),314.0)</f>
        <v>314</v>
      </c>
      <c r="I13" s="5" t="str">
        <f t="shared" si="1"/>
        <v>🟢 +33.5%</v>
      </c>
      <c r="J13" s="5" t="str">
        <f t="shared" si="2"/>
        <v>🟢 +-23.9%</v>
      </c>
      <c r="K13" s="6" t="str">
        <f t="shared" si="3"/>
        <v>🟢 +-1.7%</v>
      </c>
    </row>
    <row r="14" ht="22.5" customHeight="1">
      <c r="A14" s="2">
        <v>13.0</v>
      </c>
      <c r="B14" s="2" t="s">
        <v>46</v>
      </c>
      <c r="C14" s="2" t="s">
        <v>47</v>
      </c>
      <c r="D14" s="2" t="s">
        <v>16</v>
      </c>
      <c r="E14" s="4">
        <f>IFERROR(__xludf.DUMMYFUNCTION("IFERROR(INDEX(GOOGLEFINANCE(""NSE:""&amp;C14,""open"",DATE(2026,1,1)),2,2),""N/A"")"),7063.0)</f>
        <v>7063</v>
      </c>
      <c r="F14" s="4">
        <f>IFERROR(__xludf.DUMMYFUNCTION("IFERROR(INDEX(GOOGLEFINANCE(""NSE:""&amp;C14,""open"",DATE(2026,4,1)),2,2),""N/A"")"),7549.0)</f>
        <v>7549</v>
      </c>
      <c r="G14" s="4">
        <f>IFERROR(__xludf.DUMMYFUNCTION("IFERROR(INDEX(GOOGLEFINANCE(""NSE:""&amp;C14,""open"",DATE(2026,5,2)),2,2),""N/A"")"),7699.5)</f>
        <v>7699.5</v>
      </c>
      <c r="H14" s="5">
        <f>IFERROR(__xludf.DUMMYFUNCTION("GOOGLEFINANCE(""NSE:""&amp;C14,""price"")"),7760.0)</f>
        <v>7760</v>
      </c>
      <c r="I14" s="5" t="str">
        <f t="shared" si="1"/>
        <v>🟢 +9.9%</v>
      </c>
      <c r="J14" s="5" t="str">
        <f t="shared" si="2"/>
        <v>🟢 +-2.7%</v>
      </c>
      <c r="K14" s="6" t="str">
        <f t="shared" si="3"/>
        <v>🟢 +-0.8%</v>
      </c>
    </row>
    <row r="15" ht="22.5" customHeight="1">
      <c r="A15" s="2">
        <v>14.0</v>
      </c>
      <c r="B15" s="2" t="s">
        <v>48</v>
      </c>
      <c r="C15" s="2" t="s">
        <v>49</v>
      </c>
      <c r="D15" s="2" t="s">
        <v>50</v>
      </c>
      <c r="E15" s="4">
        <f>IFERROR(__xludf.DUMMYFUNCTION("IFERROR(INDEX(GOOGLEFINANCE(""NSE:""&amp;C15,""open"",DATE(2026,1,1)),2,2),""N/A"")"),500.75)</f>
        <v>500.75</v>
      </c>
      <c r="F15" s="4">
        <f>IFERROR(__xludf.DUMMYFUNCTION("IFERROR(INDEX(GOOGLEFINANCE(""NSE:""&amp;C15,""open"",DATE(2026,4,1)),2,2),""N/A"")"),419.0)</f>
        <v>419</v>
      </c>
      <c r="G15" s="4">
        <f>IFERROR(__xludf.DUMMYFUNCTION("IFERROR(INDEX(GOOGLEFINANCE(""NSE:""&amp;C15,""open"",DATE(2026,5,2)),2,2),""N/A"")"),411.25)</f>
        <v>411.25</v>
      </c>
      <c r="H15" s="5">
        <f>IFERROR(__xludf.DUMMYFUNCTION("GOOGLEFINANCE(""NSE:""&amp;C15,""price"")"),402.55)</f>
        <v>402.55</v>
      </c>
      <c r="I15" s="5" t="str">
        <f t="shared" si="1"/>
        <v>🔴 -19.6%</v>
      </c>
      <c r="J15" s="5" t="str">
        <f t="shared" si="2"/>
        <v>🔴 4.1%</v>
      </c>
      <c r="K15" s="6" t="str">
        <f t="shared" si="3"/>
        <v>🔴 2.2%</v>
      </c>
    </row>
    <row r="16" ht="22.5" customHeight="1">
      <c r="A16" s="2">
        <v>15.0</v>
      </c>
      <c r="B16" s="2" t="s">
        <v>51</v>
      </c>
      <c r="C16" s="2" t="s">
        <v>52</v>
      </c>
      <c r="D16" s="2" t="s">
        <v>53</v>
      </c>
      <c r="E16" s="4">
        <f>IFERROR(__xludf.DUMMYFUNCTION("IFERROR(INDEX(GOOGLEFINANCE(""NSE:""&amp;C16,""open"",DATE(2026,1,1)),2,2),""N/A"")"),179.19)</f>
        <v>179.19</v>
      </c>
      <c r="F16" s="4">
        <f>IFERROR(__xludf.DUMMYFUNCTION("IFERROR(INDEX(GOOGLEFINANCE(""NSE:""&amp;C16,""open"",DATE(2026,4,1)),2,2),""N/A"")"),154.15)</f>
        <v>154.15</v>
      </c>
      <c r="G16" s="4">
        <f>IFERROR(__xludf.DUMMYFUNCTION("IFERROR(INDEX(GOOGLEFINANCE(""NSE:""&amp;C16,""open"",DATE(2026,5,2)),2,2),""N/A"")"),162.29)</f>
        <v>162.29</v>
      </c>
      <c r="H16" s="5">
        <f>IFERROR(__xludf.DUMMYFUNCTION("GOOGLEFINANCE(""NSE:""&amp;C16,""price"")"),161.0)</f>
        <v>161</v>
      </c>
      <c r="I16" s="5" t="str">
        <f t="shared" si="1"/>
        <v>🔴 -10.2%</v>
      </c>
      <c r="J16" s="5" t="str">
        <f t="shared" si="2"/>
        <v>🟢 +-4.3%</v>
      </c>
      <c r="K16" s="6" t="str">
        <f t="shared" si="3"/>
        <v>🔴 0.8%</v>
      </c>
    </row>
    <row r="17" ht="22.5" customHeight="1">
      <c r="A17" s="2">
        <v>16.0</v>
      </c>
      <c r="B17" s="2" t="s">
        <v>54</v>
      </c>
      <c r="C17" s="2" t="s">
        <v>55</v>
      </c>
      <c r="D17" s="2" t="s">
        <v>56</v>
      </c>
      <c r="E17" s="4">
        <f>IFERROR(__xludf.DUMMYFUNCTION("IFERROR(INDEX(GOOGLEFINANCE(""NSE:""&amp;C17,""open"",DATE(2026,1,1)),2,2),""N/A"")"),2775.9)</f>
        <v>2775.9</v>
      </c>
      <c r="F17" s="4">
        <f>IFERROR(__xludf.DUMMYFUNCTION("IFERROR(INDEX(GOOGLEFINANCE(""NSE:""&amp;C17,""open"",DATE(2026,4,1)),2,2),""N/A"")"),2224.8)</f>
        <v>2224.8</v>
      </c>
      <c r="G17" s="4">
        <f>IFERROR(__xludf.DUMMYFUNCTION("IFERROR(INDEX(GOOGLEFINANCE(""NSE:""&amp;C17,""open"",DATE(2026,5,2)),2,2),""N/A"")"),2460.0)</f>
        <v>2460</v>
      </c>
      <c r="H17" s="5">
        <f>IFERROR(__xludf.DUMMYFUNCTION("GOOGLEFINANCE(""NSE:""&amp;C17,""price"")"),2432.5)</f>
        <v>2432.5</v>
      </c>
      <c r="I17" s="5" t="str">
        <f t="shared" si="1"/>
        <v>🔴 -12.4%</v>
      </c>
      <c r="J17" s="5" t="str">
        <f t="shared" si="2"/>
        <v>🟢 +-8.5%</v>
      </c>
      <c r="K17" s="6" t="str">
        <f t="shared" si="3"/>
        <v>🔴 1.1%</v>
      </c>
    </row>
    <row r="18" ht="22.5" customHeight="1">
      <c r="A18" s="2">
        <v>17.0</v>
      </c>
      <c r="B18" s="2" t="s">
        <v>57</v>
      </c>
      <c r="C18" s="2" t="s">
        <v>58</v>
      </c>
      <c r="D18" s="2" t="s">
        <v>59</v>
      </c>
      <c r="E18" s="4">
        <f>IFERROR(__xludf.DUMMYFUNCTION("IFERROR(INDEX(GOOGLEFINANCE(""NSE:""&amp;C18,""open"",DATE(2026,1,1)),2,2),""N/A"")"),1397.9)</f>
        <v>1397.9</v>
      </c>
      <c r="F18" s="4">
        <f>IFERROR(__xludf.DUMMYFUNCTION("IFERROR(INDEX(GOOGLEFINANCE(""NSE:""&amp;C18,""open"",DATE(2026,4,1)),2,2),""N/A"")"),1622.1)</f>
        <v>1622.1</v>
      </c>
      <c r="G18" s="4">
        <f>IFERROR(__xludf.DUMMYFUNCTION("IFERROR(INDEX(GOOGLEFINANCE(""NSE:""&amp;C18,""open"",DATE(2026,5,2)),2,2),""N/A"")"),1534.3)</f>
        <v>1534.3</v>
      </c>
      <c r="H18" s="5">
        <f>IFERROR(__xludf.DUMMYFUNCTION("GOOGLEFINANCE(""NSE:""&amp;C18,""price"")"),1530.0)</f>
        <v>1530</v>
      </c>
      <c r="I18" s="5" t="str">
        <f t="shared" si="1"/>
        <v>🟢 +9.4%</v>
      </c>
      <c r="J18" s="5" t="str">
        <f t="shared" si="2"/>
        <v>🔴 6.0%</v>
      </c>
      <c r="K18" s="6" t="str">
        <f t="shared" si="3"/>
        <v>🔴 0.3%</v>
      </c>
    </row>
    <row r="19" ht="22.5" customHeight="1">
      <c r="A19" s="2">
        <v>18.0</v>
      </c>
      <c r="B19" s="2" t="s">
        <v>60</v>
      </c>
      <c r="C19" s="2" t="s">
        <v>61</v>
      </c>
      <c r="D19" s="2" t="s">
        <v>62</v>
      </c>
      <c r="E19" s="4">
        <f>IFERROR(__xludf.DUMMYFUNCTION("IFERROR(INDEX(GOOGLEFINANCE(""NSE:""&amp;C19,""open"",DATE(2026,1,1)),2,2),""N/A"")"),1190.0)</f>
        <v>1190</v>
      </c>
      <c r="F19" s="4">
        <f>IFERROR(__xludf.DUMMYFUNCTION("IFERROR(INDEX(GOOGLEFINANCE(""NSE:""&amp;C19,""open"",DATE(2026,4,1)),2,2),""N/A"")"),1332.2)</f>
        <v>1332.2</v>
      </c>
      <c r="G19" s="4">
        <f>IFERROR(__xludf.DUMMYFUNCTION("IFERROR(INDEX(GOOGLEFINANCE(""NSE:""&amp;C19,""open"",DATE(2026,5,2)),2,2),""N/A"")"),1398.0)</f>
        <v>1398</v>
      </c>
      <c r="H19" s="5">
        <f>IFERROR(__xludf.DUMMYFUNCTION("GOOGLEFINANCE(""NSE:""&amp;C19,""price"")"),1429.9)</f>
        <v>1429.9</v>
      </c>
      <c r="I19" s="5" t="str">
        <f t="shared" si="1"/>
        <v>🟢 +20.2%</v>
      </c>
      <c r="J19" s="5" t="str">
        <f t="shared" si="2"/>
        <v>🟢 +-6.8%</v>
      </c>
      <c r="K19" s="6" t="str">
        <f t="shared" si="3"/>
        <v>🟢 +-2.2%</v>
      </c>
    </row>
    <row r="20" ht="22.5" customHeight="1">
      <c r="A20" s="2">
        <v>19.0</v>
      </c>
      <c r="B20" s="2" t="s">
        <v>63</v>
      </c>
      <c r="C20" s="2" t="s">
        <v>64</v>
      </c>
      <c r="D20" s="2" t="s">
        <v>65</v>
      </c>
      <c r="E20" s="4">
        <f>IFERROR(__xludf.DUMMYFUNCTION("IFERROR(INDEX(GOOGLEFINANCE(""NSE:""&amp;C20,""open"",DATE(2026,1,1)),2,2),""N/A"")"),994.5)</f>
        <v>994.5</v>
      </c>
      <c r="F20" s="4">
        <f>IFERROR(__xludf.DUMMYFUNCTION("IFERROR(INDEX(GOOGLEFINANCE(""NSE:""&amp;C20,""open"",DATE(2026,4,1)),2,2),""N/A"")"),859.65)</f>
        <v>859.65</v>
      </c>
      <c r="G20" s="4">
        <f>IFERROR(__xludf.DUMMYFUNCTION("IFERROR(INDEX(GOOGLEFINANCE(""NSE:""&amp;C20,""open"",DATE(2026,5,2)),2,2),""N/A"")"),1023.7)</f>
        <v>1023.7</v>
      </c>
      <c r="H20" s="5">
        <f>IFERROR(__xludf.DUMMYFUNCTION("GOOGLEFINANCE(""NSE:""&amp;C20,""price"")"),1009.0)</f>
        <v>1009</v>
      </c>
      <c r="I20" s="5" t="str">
        <f t="shared" si="1"/>
        <v>🟢 +1.5%</v>
      </c>
      <c r="J20" s="5" t="str">
        <f t="shared" si="2"/>
        <v>🟢 +-14.8%</v>
      </c>
      <c r="K20" s="6" t="str">
        <f t="shared" si="3"/>
        <v>🔴 1.5%</v>
      </c>
    </row>
    <row r="21" ht="15.75" customHeight="1">
      <c r="A21" s="2">
        <v>20.0</v>
      </c>
      <c r="B21" s="2" t="s">
        <v>66</v>
      </c>
      <c r="C21" s="2" t="s">
        <v>67</v>
      </c>
      <c r="D21" s="2" t="s">
        <v>68</v>
      </c>
      <c r="E21" s="4">
        <f>IFERROR(__xludf.DUMMYFUNCTION("IFERROR(INDEX(GOOGLEFINANCE(""NSE:""&amp;C21,""open"",DATE(2026,1,1)),2,2),""N/A"")"),1270.0)</f>
        <v>1270</v>
      </c>
      <c r="F21" s="4">
        <f>IFERROR(__xludf.DUMMYFUNCTION("IFERROR(INDEX(GOOGLEFINANCE(""NSE:""&amp;C21,""open"",DATE(2026,4,1)),2,2),""N/A"")"),1175.0)</f>
        <v>1175</v>
      </c>
      <c r="G21" s="4">
        <f>IFERROR(__xludf.DUMMYFUNCTION("IFERROR(INDEX(GOOGLEFINANCE(""NSE:""&amp;C21,""open"",DATE(2026,5,2)),2,2),""N/A"")"),1268.3)</f>
        <v>1268.3</v>
      </c>
      <c r="H21" s="5">
        <f>IFERROR(__xludf.DUMMYFUNCTION("GOOGLEFINANCE(""NSE:""&amp;C21,""price"")"),1257.8)</f>
        <v>1257.8</v>
      </c>
      <c r="I21" s="5" t="str">
        <f t="shared" si="1"/>
        <v>🔴 -1.0%</v>
      </c>
      <c r="J21" s="5" t="str">
        <f t="shared" si="2"/>
        <v>🟢 +-6.6%</v>
      </c>
      <c r="K21" s="6" t="str">
        <f t="shared" si="3"/>
        <v>🔴 0.8%</v>
      </c>
    </row>
    <row r="22" ht="15.75" customHeight="1">
      <c r="A22" s="2">
        <v>21.0</v>
      </c>
      <c r="B22" s="2" t="s">
        <v>69</v>
      </c>
      <c r="C22" s="2" t="s">
        <v>70</v>
      </c>
      <c r="D22" s="2" t="s">
        <v>71</v>
      </c>
      <c r="E22" s="4">
        <f>IFERROR(__xludf.DUMMYFUNCTION("IFERROR(INDEX(GOOGLEFINANCE(""NSE:""&amp;C22,""open"",DATE(2026,1,1)),2,2),""N/A"")"),9365.0)</f>
        <v>9365</v>
      </c>
      <c r="F22" s="4">
        <f>IFERROR(__xludf.DUMMYFUNCTION("IFERROR(INDEX(GOOGLEFINANCE(""NSE:""&amp;C22,""open"",DATE(2026,4,1)),2,2),""N/A"")"),8993.5)</f>
        <v>8993.5</v>
      </c>
      <c r="G22" s="4">
        <f>IFERROR(__xludf.DUMMYFUNCTION("IFERROR(INDEX(GOOGLEFINANCE(""NSE:""&amp;C22,""open"",DATE(2026,5,2)),2,2),""N/A"")"),10244.0)</f>
        <v>10244</v>
      </c>
      <c r="H22" s="5">
        <f>IFERROR(__xludf.DUMMYFUNCTION("GOOGLEFINANCE(""NSE:""&amp;C22,""price"")"),10068.0)</f>
        <v>10068</v>
      </c>
      <c r="I22" s="5" t="str">
        <f t="shared" si="1"/>
        <v>🟢 +7.5%</v>
      </c>
      <c r="J22" s="5" t="str">
        <f t="shared" si="2"/>
        <v>🟢 +-10.7%</v>
      </c>
      <c r="K22" s="6" t="str">
        <f t="shared" si="3"/>
        <v>🔴 1.7%</v>
      </c>
    </row>
    <row r="23" ht="15.75" customHeight="1">
      <c r="A23" s="2">
        <v>22.0</v>
      </c>
      <c r="B23" s="2" t="s">
        <v>72</v>
      </c>
      <c r="C23" s="2" t="s">
        <v>73</v>
      </c>
      <c r="D23" s="2" t="s">
        <v>74</v>
      </c>
      <c r="E23" s="4">
        <f>IFERROR(__xludf.DUMMYFUNCTION("IFERROR(INDEX(GOOGLEFINANCE(""NSE:""&amp;C23,""open"",DATE(2026,1,1)),2,2),""N/A"")"),988.2)</f>
        <v>988.2</v>
      </c>
      <c r="F23" s="4">
        <f>IFERROR(__xludf.DUMMYFUNCTION("IFERROR(INDEX(GOOGLEFINANCE(""NSE:""&amp;C23,""open"",DATE(2026,4,1)),2,2),""N/A"")"),832.8)</f>
        <v>832.8</v>
      </c>
      <c r="G23" s="4">
        <f>IFERROR(__xludf.DUMMYFUNCTION("IFERROR(INDEX(GOOGLEFINANCE(""NSE:""&amp;C23,""open"",DATE(2026,5,2)),2,2),""N/A"")"),938.1)</f>
        <v>938.1</v>
      </c>
      <c r="H23" s="5">
        <f>IFERROR(__xludf.DUMMYFUNCTION("GOOGLEFINANCE(""NSE:""&amp;C23,""price"")"),959.75)</f>
        <v>959.75</v>
      </c>
      <c r="I23" s="5" t="str">
        <f t="shared" si="1"/>
        <v>🔴 -2.9%</v>
      </c>
      <c r="J23" s="5" t="str">
        <f t="shared" si="2"/>
        <v>🟢 +-13.2%</v>
      </c>
      <c r="K23" s="6" t="str">
        <f t="shared" si="3"/>
        <v>🟢 +-2.3%</v>
      </c>
    </row>
    <row r="24" ht="15.75" customHeight="1">
      <c r="A24" s="2">
        <v>23.0</v>
      </c>
      <c r="B24" s="2" t="s">
        <v>75</v>
      </c>
      <c r="C24" s="2" t="s">
        <v>76</v>
      </c>
      <c r="D24" s="2" t="s">
        <v>71</v>
      </c>
      <c r="E24" s="4">
        <f>IFERROR(__xludf.DUMMYFUNCTION("IFERROR(INDEX(GOOGLEFINANCE(""NSE:""&amp;C24,""open"",DATE(2026,1,1)),2,2),""N/A"")"),2045.0)</f>
        <v>2045</v>
      </c>
      <c r="F24" s="4">
        <f>IFERROR(__xludf.DUMMYFUNCTION("IFERROR(INDEX(GOOGLEFINANCE(""NSE:""&amp;C24,""open"",DATE(2026,4,1)),2,2),""N/A"")"),1679.0)</f>
        <v>1679</v>
      </c>
      <c r="G24" s="4">
        <f>IFERROR(__xludf.DUMMYFUNCTION("IFERROR(INDEX(GOOGLEFINANCE(""NSE:""&amp;C24,""open"",DATE(2026,5,2)),2,2),""N/A"")"),1749.2)</f>
        <v>1749.2</v>
      </c>
      <c r="H24" s="5">
        <f>IFERROR(__xludf.DUMMYFUNCTION("GOOGLEFINANCE(""NSE:""&amp;C24,""price"")"),1791.0)</f>
        <v>1791</v>
      </c>
      <c r="I24" s="5" t="str">
        <f t="shared" si="1"/>
        <v>🔴 -12.4%</v>
      </c>
      <c r="J24" s="5" t="str">
        <f t="shared" si="2"/>
        <v>🟢 +-6.3%</v>
      </c>
      <c r="K24" s="6" t="str">
        <f t="shared" si="3"/>
        <v>🟢 +-2.3%</v>
      </c>
    </row>
    <row r="25" ht="15.75" customHeight="1">
      <c r="A25" s="2">
        <v>24.0</v>
      </c>
      <c r="B25" s="2" t="s">
        <v>77</v>
      </c>
      <c r="C25" s="2" t="s">
        <v>78</v>
      </c>
      <c r="D25" s="2" t="s">
        <v>71</v>
      </c>
      <c r="E25" s="4">
        <f>IFERROR(__xludf.DUMMYFUNCTION("IFERROR(INDEX(GOOGLEFINANCE(""NSE:""&amp;C25,""open"",DATE(2026,1,1)),2,2),""N/A"")"),11350.0)</f>
        <v>11350</v>
      </c>
      <c r="F25" s="4">
        <f>IFERROR(__xludf.DUMMYFUNCTION("IFERROR(INDEX(GOOGLEFINANCE(""NSE:""&amp;C25,""open"",DATE(2026,4,1)),2,2),""N/A"")"),8999.0)</f>
        <v>8999</v>
      </c>
      <c r="G25" s="4">
        <f>IFERROR(__xludf.DUMMYFUNCTION("IFERROR(INDEX(GOOGLEFINANCE(""NSE:""&amp;C25,""open"",DATE(2026,5,2)),2,2),""N/A"")"),10399.0)</f>
        <v>10399</v>
      </c>
      <c r="H25" s="5">
        <f>IFERROR(__xludf.DUMMYFUNCTION("GOOGLEFINANCE(""NSE:""&amp;C25,""price"")"),10480.0)</f>
        <v>10480</v>
      </c>
      <c r="I25" s="5" t="str">
        <f t="shared" si="1"/>
        <v>🔴 -7.7%</v>
      </c>
      <c r="J25" s="5" t="str">
        <f t="shared" si="2"/>
        <v>🟢 +-14.1%</v>
      </c>
      <c r="K25" s="6" t="str">
        <f t="shared" si="3"/>
        <v>🟢 +-0.8%</v>
      </c>
    </row>
    <row r="26" ht="15.75" customHeight="1">
      <c r="A26" s="2">
        <v>25.0</v>
      </c>
      <c r="B26" s="2" t="s">
        <v>79</v>
      </c>
      <c r="C26" s="2" t="s">
        <v>80</v>
      </c>
      <c r="D26" s="2" t="s">
        <v>81</v>
      </c>
      <c r="E26" s="4">
        <f>IFERROR(__xludf.DUMMYFUNCTION("IFERROR(INDEX(GOOGLEFINANCE(""NSE:""&amp;C26,""open"",DATE(2026,1,1)),2,2),""N/A"")"),2315.1)</f>
        <v>2315.1</v>
      </c>
      <c r="F26" s="4">
        <f>IFERROR(__xludf.DUMMYFUNCTION("IFERROR(INDEX(GOOGLEFINANCE(""NSE:""&amp;C26,""open"",DATE(2026,4,1)),2,2),""N/A"")"),2172.5)</f>
        <v>2172.5</v>
      </c>
      <c r="G26" s="4">
        <f>IFERROR(__xludf.DUMMYFUNCTION("IFERROR(INDEX(GOOGLEFINANCE(""NSE:""&amp;C26,""open"",DATE(2026,5,2)),2,2),""N/A"")"),2182.5)</f>
        <v>2182.5</v>
      </c>
      <c r="H26" s="5">
        <f>IFERROR(__xludf.DUMMYFUNCTION("GOOGLEFINANCE(""NSE:""&amp;C26,""price"")"),2179.9)</f>
        <v>2179.9</v>
      </c>
      <c r="I26" s="5" t="str">
        <f t="shared" si="1"/>
        <v>🔴 -5.8%</v>
      </c>
      <c r="J26" s="5" t="str">
        <f t="shared" si="2"/>
        <v>🟢 +-0.3%</v>
      </c>
      <c r="K26" s="6" t="str">
        <f t="shared" si="3"/>
        <v>🔴 0.1%</v>
      </c>
    </row>
    <row r="27" ht="15.75" customHeight="1">
      <c r="A27" s="2">
        <v>26.0</v>
      </c>
      <c r="B27" s="2" t="s">
        <v>82</v>
      </c>
      <c r="C27" s="2" t="s">
        <v>83</v>
      </c>
      <c r="D27" s="2" t="s">
        <v>84</v>
      </c>
      <c r="E27" s="4">
        <f>IFERROR(__xludf.DUMMYFUNCTION("IFERROR(INDEX(GOOGLEFINANCE(""NSE:""&amp;C27,""open"",DATE(2026,1,1)),2,2),""N/A"")"),146.04)</f>
        <v>146.04</v>
      </c>
      <c r="F27" s="4">
        <f>IFERROR(__xludf.DUMMYFUNCTION("IFERROR(INDEX(GOOGLEFINANCE(""NSE:""&amp;C27,""open"",DATE(2026,4,1)),2,2),""N/A"")"),144.55)</f>
        <v>144.55</v>
      </c>
      <c r="G27" s="4">
        <f>IFERROR(__xludf.DUMMYFUNCTION("IFERROR(INDEX(GOOGLEFINANCE(""NSE:""&amp;C27,""open"",DATE(2026,5,2)),2,2),""N/A"")"),202.7)</f>
        <v>202.7</v>
      </c>
      <c r="H27" s="5">
        <f>IFERROR(__xludf.DUMMYFUNCTION("GOOGLEFINANCE(""NSE:""&amp;C27,""price"")"),206.3)</f>
        <v>206.3</v>
      </c>
      <c r="I27" s="5" t="str">
        <f t="shared" si="1"/>
        <v>🟢 +41.3%</v>
      </c>
      <c r="J27" s="5" t="str">
        <f t="shared" si="2"/>
        <v>🟢 +-29.9%</v>
      </c>
      <c r="K27" s="6" t="str">
        <f t="shared" si="3"/>
        <v>🟢 +-1.7%</v>
      </c>
    </row>
    <row r="28" ht="15.75" customHeight="1">
      <c r="A28" s="2">
        <v>27.0</v>
      </c>
      <c r="B28" s="2" t="s">
        <v>85</v>
      </c>
      <c r="C28" s="2" t="s">
        <v>86</v>
      </c>
      <c r="D28" s="2" t="s">
        <v>87</v>
      </c>
      <c r="E28" s="4">
        <f>IFERROR(__xludf.DUMMYFUNCTION("IFERROR(INDEX(GOOGLEFINANCE(""NSE:""&amp;C28,""open"",DATE(2026,1,1)),2,2),""N/A"")"),296.5)</f>
        <v>296.5</v>
      </c>
      <c r="F28" s="4">
        <f>IFERROR(__xludf.DUMMYFUNCTION("IFERROR(INDEX(GOOGLEFINANCE(""NSE:""&amp;C28,""open"",DATE(2026,4,1)),2,2),""N/A"")"),253.0)</f>
        <v>253</v>
      </c>
      <c r="G28" s="4">
        <f>IFERROR(__xludf.DUMMYFUNCTION("IFERROR(INDEX(GOOGLEFINANCE(""NSE:""&amp;C28,""open"",DATE(2026,5,2)),2,2),""N/A"")"),264.95)</f>
        <v>264.95</v>
      </c>
      <c r="H28" s="5">
        <f>IFERROR(__xludf.DUMMYFUNCTION("GOOGLEFINANCE(""NSE:""&amp;C28,""price"")"),263.1)</f>
        <v>263.1</v>
      </c>
      <c r="I28" s="5" t="str">
        <f t="shared" si="1"/>
        <v>🔴 -11.3%</v>
      </c>
      <c r="J28" s="5" t="str">
        <f t="shared" si="2"/>
        <v>🟢 +-3.8%</v>
      </c>
      <c r="K28" s="6" t="str">
        <f t="shared" si="3"/>
        <v>🔴 0.7%</v>
      </c>
    </row>
    <row r="29" ht="15.75" customHeight="1">
      <c r="A29" s="2">
        <v>28.0</v>
      </c>
      <c r="B29" s="2" t="s">
        <v>88</v>
      </c>
      <c r="C29" s="2" t="s">
        <v>89</v>
      </c>
      <c r="D29" s="2" t="s">
        <v>90</v>
      </c>
      <c r="E29" s="4">
        <f>IFERROR(__xludf.DUMMYFUNCTION("IFERROR(INDEX(GOOGLEFINANCE(""NSE:""&amp;C29,""open"",DATE(2026,1,1)),2,2),""N/A"")"),144.1)</f>
        <v>144.1</v>
      </c>
      <c r="F29" s="4">
        <f>IFERROR(__xludf.DUMMYFUNCTION("IFERROR(INDEX(GOOGLEFINANCE(""NSE:""&amp;C29,""open"",DATE(2026,4,1)),2,2),""N/A"")"),142.81)</f>
        <v>142.81</v>
      </c>
      <c r="G29" s="4">
        <f>IFERROR(__xludf.DUMMYFUNCTION("IFERROR(INDEX(GOOGLEFINANCE(""NSE:""&amp;C29,""open"",DATE(2026,5,2)),2,2),""N/A"")"),140.01)</f>
        <v>140.01</v>
      </c>
      <c r="H29" s="5">
        <f>IFERROR(__xludf.DUMMYFUNCTION("GOOGLEFINANCE(""NSE:""&amp;C29,""price"")"),138.51)</f>
        <v>138.51</v>
      </c>
      <c r="I29" s="5" t="str">
        <f t="shared" si="1"/>
        <v>🔴 -3.9%</v>
      </c>
      <c r="J29" s="5" t="str">
        <f t="shared" si="2"/>
        <v>🔴 3.1%</v>
      </c>
      <c r="K29" s="6" t="str">
        <f t="shared" si="3"/>
        <v>🔴 1.1%</v>
      </c>
    </row>
    <row r="30" ht="15.75" customHeight="1">
      <c r="A30" s="2">
        <v>29.0</v>
      </c>
      <c r="B30" s="2" t="s">
        <v>91</v>
      </c>
      <c r="C30" s="2" t="s">
        <v>91</v>
      </c>
      <c r="D30" s="2" t="s">
        <v>50</v>
      </c>
      <c r="E30" s="4">
        <f>IFERROR(__xludf.DUMMYFUNCTION("IFERROR(INDEX(GOOGLEFINANCE(""NSE:""&amp;C30,""open"",DATE(2026,1,1)),2,2),""N/A"")"),1857.9)</f>
        <v>1857.9</v>
      </c>
      <c r="F30" s="4">
        <f>IFERROR(__xludf.DUMMYFUNCTION("IFERROR(INDEX(GOOGLEFINANCE(""NSE:""&amp;C30,""open"",DATE(2026,4,1)),2,2),""N/A"")"),1410.5)</f>
        <v>1410.5</v>
      </c>
      <c r="G30" s="4">
        <f>IFERROR(__xludf.DUMMYFUNCTION("IFERROR(INDEX(GOOGLEFINANCE(""NSE:""&amp;C30,""open"",DATE(2026,5,2)),2,2),""N/A"")"),1805.0)</f>
        <v>1805</v>
      </c>
      <c r="H30" s="5">
        <f>IFERROR(__xludf.DUMMYFUNCTION("GOOGLEFINANCE(""NSE:""&amp;C30,""price"")"),1870.0)</f>
        <v>1870</v>
      </c>
      <c r="I30" s="5" t="str">
        <f t="shared" si="1"/>
        <v>🟢 +0.7%</v>
      </c>
      <c r="J30" s="5" t="str">
        <f t="shared" si="2"/>
        <v>🟢 +-24.6%</v>
      </c>
      <c r="K30" s="6" t="str">
        <f t="shared" si="3"/>
        <v>🟢 +-3.5%</v>
      </c>
    </row>
    <row r="31" ht="15.75" customHeight="1">
      <c r="A31" s="2">
        <v>30.0</v>
      </c>
      <c r="B31" s="2" t="s">
        <v>92</v>
      </c>
      <c r="C31" s="2" t="s">
        <v>93</v>
      </c>
      <c r="D31" s="2" t="s">
        <v>94</v>
      </c>
      <c r="E31" s="4">
        <f>IFERROR(__xludf.DUMMYFUNCTION("IFERROR(INDEX(GOOGLEFINANCE(""NSE:""&amp;C31,""open"",DATE(2026,1,1)),2,2),""N/A"")"),539.0)</f>
        <v>539</v>
      </c>
      <c r="F31" s="4">
        <f>IFERROR(__xludf.DUMMYFUNCTION("IFERROR(INDEX(GOOGLEFINANCE(""NSE:""&amp;C31,""open"",DATE(2026,4,1)),2,2),""N/A"")"),419.15)</f>
        <v>419.15</v>
      </c>
      <c r="G31" s="4">
        <f>IFERROR(__xludf.DUMMYFUNCTION("IFERROR(INDEX(GOOGLEFINANCE(""NSE:""&amp;C31,""open"",DATE(2026,5,2)),2,2),""N/A"")"),473.1)</f>
        <v>473.1</v>
      </c>
      <c r="H31" s="5">
        <f>IFERROR(__xludf.DUMMYFUNCTION("GOOGLEFINANCE(""NSE:""&amp;C31,""price"")"),474.9)</f>
        <v>474.9</v>
      </c>
      <c r="I31" s="5" t="str">
        <f t="shared" si="1"/>
        <v>🔴 -11.9%</v>
      </c>
      <c r="J31" s="5" t="str">
        <f t="shared" si="2"/>
        <v>🟢 +-11.7%</v>
      </c>
      <c r="K31" s="6" t="str">
        <f t="shared" si="3"/>
        <v>🟢 +-0.4%</v>
      </c>
    </row>
    <row r="32" ht="15.75" customHeight="1">
      <c r="A32" s="2">
        <v>31.0</v>
      </c>
      <c r="B32" s="2" t="s">
        <v>95</v>
      </c>
      <c r="C32" s="2" t="s">
        <v>96</v>
      </c>
      <c r="D32" s="2" t="s">
        <v>84</v>
      </c>
      <c r="E32" s="4">
        <f>IFERROR(__xludf.DUMMYFUNCTION("IFERROR(INDEX(GOOGLEFINANCE(""NSE:""&amp;C32,""open"",DATE(2026,1,1)),2,2),""N/A"")"),1475.0)</f>
        <v>1475</v>
      </c>
      <c r="F32" s="4">
        <f>IFERROR(__xludf.DUMMYFUNCTION("IFERROR(INDEX(GOOGLEFINANCE(""NSE:""&amp;C32,""open"",DATE(2026,4,1)),2,2),""N/A"")"),1132.2)</f>
        <v>1132.2</v>
      </c>
      <c r="G32" s="4">
        <f>IFERROR(__xludf.DUMMYFUNCTION("IFERROR(INDEX(GOOGLEFINANCE(""NSE:""&amp;C32,""open"",DATE(2026,5,2)),2,2),""N/A"")"),1371.0)</f>
        <v>1371</v>
      </c>
      <c r="H32" s="5">
        <f>IFERROR(__xludf.DUMMYFUNCTION("GOOGLEFINANCE(""NSE:""&amp;C32,""price"")"),1400.0)</f>
        <v>1400</v>
      </c>
      <c r="I32" s="5" t="str">
        <f t="shared" si="1"/>
        <v>🔴 -5.1%</v>
      </c>
      <c r="J32" s="5" t="str">
        <f t="shared" si="2"/>
        <v>🟢 +-19.1%</v>
      </c>
      <c r="K32" s="6" t="str">
        <f t="shared" si="3"/>
        <v>🟢 +-2.1%</v>
      </c>
    </row>
    <row r="33" ht="15.75" customHeight="1">
      <c r="A33" s="2">
        <v>32.0</v>
      </c>
      <c r="B33" s="2" t="s">
        <v>97</v>
      </c>
      <c r="C33" s="2" t="s">
        <v>98</v>
      </c>
      <c r="D33" s="2" t="s">
        <v>99</v>
      </c>
      <c r="E33" s="4">
        <f>IFERROR(__xludf.DUMMYFUNCTION("IFERROR(INDEX(GOOGLEFINANCE(""NSE:""&amp;C33,""open"",DATE(2026,1,1)),2,2),""N/A"")"),399.9)</f>
        <v>399.9</v>
      </c>
      <c r="F33" s="4">
        <f>IFERROR(__xludf.DUMMYFUNCTION("IFERROR(INDEX(GOOGLEFINANCE(""NSE:""&amp;C33,""open"",DATE(2026,4,1)),2,2),""N/A"")"),415.0)</f>
        <v>415</v>
      </c>
      <c r="G33" s="4">
        <f>IFERROR(__xludf.DUMMYFUNCTION("IFERROR(INDEX(GOOGLEFINANCE(""NSE:""&amp;C33,""open"",DATE(2026,5,2)),2,2),""N/A"")"),433.0)</f>
        <v>433</v>
      </c>
      <c r="H33" s="5">
        <f>IFERROR(__xludf.DUMMYFUNCTION("GOOGLEFINANCE(""NSE:""&amp;C33,""price"")"),436.5)</f>
        <v>436.5</v>
      </c>
      <c r="I33" s="5" t="str">
        <f t="shared" si="1"/>
        <v>🟢 +9.2%</v>
      </c>
      <c r="J33" s="5" t="str">
        <f t="shared" si="2"/>
        <v>🟢 +-4.9%</v>
      </c>
      <c r="K33" s="6" t="str">
        <f t="shared" si="3"/>
        <v>🟢 +-0.8%</v>
      </c>
    </row>
    <row r="34" ht="15.75" customHeight="1">
      <c r="A34" s="2">
        <v>33.0</v>
      </c>
      <c r="B34" s="2" t="s">
        <v>100</v>
      </c>
      <c r="C34" s="2" t="s">
        <v>101</v>
      </c>
      <c r="D34" s="2" t="s">
        <v>50</v>
      </c>
      <c r="E34" s="4">
        <f>IFERROR(__xludf.DUMMYFUNCTION("IFERROR(INDEX(GOOGLEFINANCE(""NSE:""&amp;C34,""open"",DATE(2026,1,1)),2,2),""N/A"")"),1480.0)</f>
        <v>1480</v>
      </c>
      <c r="F34" s="4">
        <f>IFERROR(__xludf.DUMMYFUNCTION("IFERROR(INDEX(GOOGLEFINANCE(""NSE:""&amp;C34,""open"",DATE(2026,4,1)),2,2),""N/A"")"),1710.0)</f>
        <v>1710</v>
      </c>
      <c r="G34" s="4">
        <f>IFERROR(__xludf.DUMMYFUNCTION("IFERROR(INDEX(GOOGLEFINANCE(""NSE:""&amp;C34,""open"",DATE(2026,5,2)),2,2),""N/A"")"),1912.3)</f>
        <v>1912.3</v>
      </c>
      <c r="H34" s="5">
        <f>IFERROR(__xludf.DUMMYFUNCTION("GOOGLEFINANCE(""NSE:""&amp;C34,""price"")"),1867.6)</f>
        <v>1867.6</v>
      </c>
      <c r="I34" s="5" t="str">
        <f t="shared" si="1"/>
        <v>🟢 +26.2%</v>
      </c>
      <c r="J34" s="5" t="str">
        <f t="shared" si="2"/>
        <v>🟢 +-8.4%</v>
      </c>
      <c r="K34" s="6" t="str">
        <f t="shared" si="3"/>
        <v>🔴 2.4%</v>
      </c>
    </row>
    <row r="35" ht="15.75" customHeight="1">
      <c r="A35" s="2">
        <v>34.0</v>
      </c>
      <c r="B35" s="2" t="s">
        <v>102</v>
      </c>
      <c r="C35" s="2" t="s">
        <v>103</v>
      </c>
      <c r="D35" s="2" t="s">
        <v>50</v>
      </c>
      <c r="E35" s="4">
        <f>IFERROR(__xludf.DUMMYFUNCTION("IFERROR(INDEX(GOOGLEFINANCE(""NSE:""&amp;C35,""open"",DATE(2026,1,1)),2,2),""N/A"")"),288.5)</f>
        <v>288.5</v>
      </c>
      <c r="F35" s="4">
        <f>IFERROR(__xludf.DUMMYFUNCTION("IFERROR(INDEX(GOOGLEFINANCE(""NSE:""&amp;C35,""open"",DATE(2026,4,1)),2,2),""N/A"")"),254.5)</f>
        <v>254.5</v>
      </c>
      <c r="G35" s="4">
        <f>IFERROR(__xludf.DUMMYFUNCTION("IFERROR(INDEX(GOOGLEFINANCE(""NSE:""&amp;C35,""open"",DATE(2026,5,2)),2,2),""N/A"")"),355.0)</f>
        <v>355</v>
      </c>
      <c r="H35" s="5">
        <f>IFERROR(__xludf.DUMMYFUNCTION("GOOGLEFINANCE(""NSE:""&amp;C35,""price"")"),375.5)</f>
        <v>375.5</v>
      </c>
      <c r="I35" s="5" t="str">
        <f t="shared" si="1"/>
        <v>🟢 +30.2%</v>
      </c>
      <c r="J35" s="5" t="str">
        <f t="shared" si="2"/>
        <v>🟢 +-32.2%</v>
      </c>
      <c r="K35" s="6" t="str">
        <f t="shared" si="3"/>
        <v>🟢 +-5.5%</v>
      </c>
    </row>
    <row r="36" ht="15.75" customHeight="1">
      <c r="A36" s="2">
        <v>35.0</v>
      </c>
      <c r="B36" s="2" t="s">
        <v>104</v>
      </c>
      <c r="C36" s="2" t="s">
        <v>105</v>
      </c>
      <c r="D36" s="2" t="s">
        <v>50</v>
      </c>
      <c r="E36" s="4">
        <f>IFERROR(__xludf.DUMMYFUNCTION("IFERROR(INDEX(GOOGLEFINANCE(""NSE:""&amp;C36,""open"",DATE(2026,1,1)),2,2),""N/A"")"),386.4)</f>
        <v>386.4</v>
      </c>
      <c r="F36" s="4">
        <f>IFERROR(__xludf.DUMMYFUNCTION("IFERROR(INDEX(GOOGLEFINANCE(""NSE:""&amp;C36,""open"",DATE(2026,4,1)),2,2),""N/A"")"),292.0)</f>
        <v>292</v>
      </c>
      <c r="G36" s="4">
        <f>IFERROR(__xludf.DUMMYFUNCTION("IFERROR(INDEX(GOOGLEFINANCE(""NSE:""&amp;C36,""open"",DATE(2026,5,2)),2,2),""N/A"")"),302.5)</f>
        <v>302.5</v>
      </c>
      <c r="H36" s="5">
        <f>IFERROR(__xludf.DUMMYFUNCTION("GOOGLEFINANCE(""NSE:""&amp;C36,""price"")"),299.35)</f>
        <v>299.35</v>
      </c>
      <c r="I36" s="5" t="str">
        <f t="shared" si="1"/>
        <v>🔴 -22.5%</v>
      </c>
      <c r="J36" s="5" t="str">
        <f t="shared" si="2"/>
        <v>🟢 +-2.5%</v>
      </c>
      <c r="K36" s="6" t="str">
        <f t="shared" si="3"/>
        <v>🔴 1.1%</v>
      </c>
    </row>
    <row r="37" ht="15.75" customHeight="1">
      <c r="A37" s="2">
        <v>36.0</v>
      </c>
      <c r="B37" s="2" t="s">
        <v>106</v>
      </c>
      <c r="C37" s="2" t="s">
        <v>107</v>
      </c>
      <c r="D37" s="2" t="s">
        <v>108</v>
      </c>
      <c r="E37" s="4">
        <f>IFERROR(__xludf.DUMMYFUNCTION("IFERROR(INDEX(GOOGLEFINANCE(""NSE:""&amp;C37,""open"",DATE(2026,1,1)),2,2),""N/A"")"),2114.8)</f>
        <v>2114.8</v>
      </c>
      <c r="F37" s="4">
        <f>IFERROR(__xludf.DUMMYFUNCTION("IFERROR(INDEX(GOOGLEFINANCE(""NSE:""&amp;C37,""open"",DATE(2026,4,1)),2,2),""N/A"")"),1811.0)</f>
        <v>1811</v>
      </c>
      <c r="G37" s="4">
        <f>IFERROR(__xludf.DUMMYFUNCTION("IFERROR(INDEX(GOOGLEFINANCE(""NSE:""&amp;C37,""open"",DATE(2026,5,2)),2,2),""N/A"")"),1873.2)</f>
        <v>1873.2</v>
      </c>
      <c r="H37" s="5">
        <f>IFERROR(__xludf.DUMMYFUNCTION("GOOGLEFINANCE(""NSE:""&amp;C37,""price"")"),1816.0)</f>
        <v>1816</v>
      </c>
      <c r="I37" s="5" t="str">
        <f t="shared" si="1"/>
        <v>🔴 -14.1%</v>
      </c>
      <c r="J37" s="5" t="str">
        <f t="shared" si="2"/>
        <v>🟢 +-0.3%</v>
      </c>
      <c r="K37" s="6" t="str">
        <f t="shared" si="3"/>
        <v>🔴 3.1%</v>
      </c>
    </row>
    <row r="38" ht="15.75" customHeight="1">
      <c r="A38" s="2">
        <v>37.0</v>
      </c>
      <c r="B38" s="2" t="s">
        <v>109</v>
      </c>
      <c r="C38" s="2" t="s">
        <v>110</v>
      </c>
      <c r="D38" s="2" t="s">
        <v>111</v>
      </c>
      <c r="E38" s="4">
        <f>IFERROR(__xludf.DUMMYFUNCTION("IFERROR(INDEX(GOOGLEFINANCE(""NSE:""&amp;C38,""open"",DATE(2026,1,1)),2,2),""N/A"")"),1800.0)</f>
        <v>1800</v>
      </c>
      <c r="F38" s="4">
        <f>IFERROR(__xludf.DUMMYFUNCTION("IFERROR(INDEX(GOOGLEFINANCE(""NSE:""&amp;C38,""open"",DATE(2026,4,1)),2,2),""N/A"")"),1514.7)</f>
        <v>1514.7</v>
      </c>
      <c r="G38" s="4">
        <f>IFERROR(__xludf.DUMMYFUNCTION("IFERROR(INDEX(GOOGLEFINANCE(""NSE:""&amp;C38,""open"",DATE(2026,5,2)),2,2),""N/A"")"),1518.0)</f>
        <v>1518</v>
      </c>
      <c r="H38" s="5">
        <f>IFERROR(__xludf.DUMMYFUNCTION("GOOGLEFINANCE(""NSE:""&amp;C38,""price"")"),1484.7)</f>
        <v>1484.7</v>
      </c>
      <c r="I38" s="5" t="str">
        <f t="shared" si="1"/>
        <v>🔴 -17.5%</v>
      </c>
      <c r="J38" s="5" t="str">
        <f t="shared" si="2"/>
        <v>🔴 2.0%</v>
      </c>
      <c r="K38" s="6" t="str">
        <f t="shared" si="3"/>
        <v>🔴 2.2%</v>
      </c>
    </row>
    <row r="39" ht="15.75" customHeight="1">
      <c r="A39" s="2">
        <v>38.0</v>
      </c>
      <c r="B39" s="2" t="s">
        <v>112</v>
      </c>
      <c r="C39" s="2" t="s">
        <v>113</v>
      </c>
      <c r="D39" s="2" t="s">
        <v>114</v>
      </c>
      <c r="E39" s="4">
        <f>IFERROR(__xludf.DUMMYFUNCTION("IFERROR(INDEX(GOOGLEFINANCE(""NSE:""&amp;C39,""open"",DATE(2026,1,1)),2,2),""N/A"")"),393.0)</f>
        <v>393</v>
      </c>
      <c r="F39" s="4">
        <f>IFERROR(__xludf.DUMMYFUNCTION("IFERROR(INDEX(GOOGLEFINANCE(""NSE:""&amp;C39,""open"",DATE(2026,4,1)),2,2),""N/A"")"),369.0)</f>
        <v>369</v>
      </c>
      <c r="G39" s="4">
        <f>IFERROR(__xludf.DUMMYFUNCTION("IFERROR(INDEX(GOOGLEFINANCE(""NSE:""&amp;C39,""open"",DATE(2026,5,2)),2,2),""N/A"")"),359.2)</f>
        <v>359.2</v>
      </c>
      <c r="H39" s="5">
        <f>IFERROR(__xludf.DUMMYFUNCTION("GOOGLEFINANCE(""NSE:""&amp;C39,""price"")"),370.0)</f>
        <v>370</v>
      </c>
      <c r="I39" s="5" t="str">
        <f t="shared" si="1"/>
        <v>🔴 -5.9%</v>
      </c>
      <c r="J39" s="5" t="str">
        <f t="shared" si="2"/>
        <v>🟢 +-0.3%</v>
      </c>
      <c r="K39" s="6" t="str">
        <f t="shared" si="3"/>
        <v>🟢 +-2.9%</v>
      </c>
    </row>
    <row r="40" ht="15.75" customHeight="1">
      <c r="A40" s="2">
        <v>39.0</v>
      </c>
      <c r="B40" s="2" t="s">
        <v>115</v>
      </c>
      <c r="C40" s="2" t="s">
        <v>116</v>
      </c>
      <c r="D40" s="2" t="s">
        <v>117</v>
      </c>
      <c r="E40" s="4">
        <f>IFERROR(__xludf.DUMMYFUNCTION("IFERROR(INDEX(GOOGLEFINANCE(""NSE:""&amp;C40,""open"",DATE(2026,1,1)),2,2),""N/A"")"),2640.9)</f>
        <v>2640.9</v>
      </c>
      <c r="F40" s="4">
        <f>IFERROR(__xludf.DUMMYFUNCTION("IFERROR(INDEX(GOOGLEFINANCE(""NSE:""&amp;C40,""open"",DATE(2026,4,1)),2,2),""N/A"")"),2810.5)</f>
        <v>2810.5</v>
      </c>
      <c r="G40" s="4">
        <f>IFERROR(__xludf.DUMMYFUNCTION("IFERROR(INDEX(GOOGLEFINANCE(""NSE:""&amp;C40,""open"",DATE(2026,5,2)),2,2),""N/A"")"),3681.0)</f>
        <v>3681</v>
      </c>
      <c r="H40" s="5">
        <f>IFERROR(__xludf.DUMMYFUNCTION("GOOGLEFINANCE(""NSE:""&amp;C40,""price"")"),3738.1)</f>
        <v>3738.1</v>
      </c>
      <c r="I40" s="5" t="str">
        <f t="shared" si="1"/>
        <v>🟢 +41.5%</v>
      </c>
      <c r="J40" s="5" t="str">
        <f t="shared" si="2"/>
        <v>🟢 +-24.8%</v>
      </c>
      <c r="K40" s="6" t="str">
        <f t="shared" si="3"/>
        <v>🟢 +-1.5%</v>
      </c>
    </row>
    <row r="41" ht="15.75" customHeight="1">
      <c r="A41" s="2">
        <v>40.0</v>
      </c>
      <c r="B41" s="2" t="s">
        <v>118</v>
      </c>
      <c r="C41" s="2" t="s">
        <v>119</v>
      </c>
      <c r="D41" s="2" t="s">
        <v>120</v>
      </c>
      <c r="E41" s="4">
        <f>IFERROR(__xludf.DUMMYFUNCTION("IFERROR(INDEX(GOOGLEFINANCE(""NSE:""&amp;C41,""open"",DATE(2026,1,1)),2,2),""N/A"")"),36040.0)</f>
        <v>36040</v>
      </c>
      <c r="F41" s="4">
        <f>IFERROR(__xludf.DUMMYFUNCTION("IFERROR(INDEX(GOOGLEFINANCE(""NSE:""&amp;C41,""open"",DATE(2026,4,1)),2,2),""N/A"")"),29445.0)</f>
        <v>29445</v>
      </c>
      <c r="G41" s="4">
        <f>IFERROR(__xludf.DUMMYFUNCTION("IFERROR(INDEX(GOOGLEFINANCE(""NSE:""&amp;C41,""open"",DATE(2026,5,2)),2,2),""N/A"")"),36150.0)</f>
        <v>36150</v>
      </c>
      <c r="H41" s="5">
        <f>IFERROR(__xludf.DUMMYFUNCTION("GOOGLEFINANCE(""NSE:""&amp;C41,""price"")"),35890.0)</f>
        <v>35890</v>
      </c>
      <c r="I41" s="5" t="str">
        <f t="shared" si="1"/>
        <v>🔴 -0.4%</v>
      </c>
      <c r="J41" s="5" t="str">
        <f t="shared" si="2"/>
        <v>🟢 +-18.0%</v>
      </c>
      <c r="K41" s="6" t="str">
        <f t="shared" si="3"/>
        <v>🔴 0.7%</v>
      </c>
    </row>
    <row r="42" ht="15.75" customHeight="1">
      <c r="A42" s="2">
        <v>41.0</v>
      </c>
      <c r="B42" s="2" t="s">
        <v>121</v>
      </c>
      <c r="C42" s="2" t="s">
        <v>122</v>
      </c>
      <c r="D42" s="2" t="s">
        <v>68</v>
      </c>
      <c r="E42" s="4">
        <f>IFERROR(__xludf.DUMMYFUNCTION("IFERROR(INDEX(GOOGLEFINANCE(""NSE:""&amp;C42,""open"",DATE(2026,1,1)),2,2),""N/A"")"),6031.0)</f>
        <v>6031</v>
      </c>
      <c r="F42" s="4">
        <f>IFERROR(__xludf.DUMMYFUNCTION("IFERROR(INDEX(GOOGLEFINANCE(""NSE:""&amp;C42,""open"",DATE(2026,4,1)),2,2),""N/A"")"),5520.0)</f>
        <v>5520</v>
      </c>
      <c r="G42" s="4">
        <f>IFERROR(__xludf.DUMMYFUNCTION("IFERROR(INDEX(GOOGLEFINANCE(""NSE:""&amp;C42,""open"",DATE(2026,5,2)),2,2),""N/A"")"),5730.0)</f>
        <v>5730</v>
      </c>
      <c r="H42" s="5">
        <f>IFERROR(__xludf.DUMMYFUNCTION("GOOGLEFINANCE(""NSE:""&amp;C42,""price"")"),5817.0)</f>
        <v>5817</v>
      </c>
      <c r="I42" s="5" t="str">
        <f t="shared" si="1"/>
        <v>🔴 -3.5%</v>
      </c>
      <c r="J42" s="5" t="str">
        <f t="shared" si="2"/>
        <v>🟢 +-5.1%</v>
      </c>
      <c r="K42" s="6" t="str">
        <f t="shared" si="3"/>
        <v>🟢 +-1.5%</v>
      </c>
    </row>
    <row r="43" ht="15.75" customHeight="1">
      <c r="A43" s="2">
        <v>42.0</v>
      </c>
      <c r="B43" s="2" t="s">
        <v>123</v>
      </c>
      <c r="C43" s="2" t="s">
        <v>124</v>
      </c>
      <c r="D43" s="2" t="s">
        <v>125</v>
      </c>
      <c r="E43" s="4">
        <f>IFERROR(__xludf.DUMMYFUNCTION("IFERROR(INDEX(GOOGLEFINANCE(""NSE:""&amp;C43,""open"",DATE(2026,1,1)),2,2),""N/A"")"),155.0)</f>
        <v>155</v>
      </c>
      <c r="F43" s="4">
        <f>IFERROR(__xludf.DUMMYFUNCTION("IFERROR(INDEX(GOOGLEFINANCE(""NSE:""&amp;C43,""open"",DATE(2026,4,1)),2,2),""N/A"")"),128.02)</f>
        <v>128.02</v>
      </c>
      <c r="G43" s="4">
        <f>IFERROR(__xludf.DUMMYFUNCTION("IFERROR(INDEX(GOOGLEFINANCE(""NSE:""&amp;C43,""open"",DATE(2026,5,2)),2,2),""N/A"")"),135.34)</f>
        <v>135.34</v>
      </c>
      <c r="H43" s="5">
        <f>IFERROR(__xludf.DUMMYFUNCTION("GOOGLEFINANCE(""NSE:""&amp;C43,""price"")"),134.36)</f>
        <v>134.36</v>
      </c>
      <c r="I43" s="5" t="str">
        <f t="shared" si="1"/>
        <v>🔴 -13.3%</v>
      </c>
      <c r="J43" s="5" t="str">
        <f t="shared" si="2"/>
        <v>🟢 +-4.7%</v>
      </c>
      <c r="K43" s="6" t="str">
        <f t="shared" si="3"/>
        <v>🔴 0.7%</v>
      </c>
    </row>
    <row r="44" ht="15.75" customHeight="1">
      <c r="A44" s="2">
        <v>43.0</v>
      </c>
      <c r="B44" s="2" t="s">
        <v>126</v>
      </c>
      <c r="C44" s="2" t="s">
        <v>126</v>
      </c>
      <c r="D44" s="2" t="s">
        <v>127</v>
      </c>
      <c r="E44" s="4">
        <f>IFERROR(__xludf.DUMMYFUNCTION("IFERROR(INDEX(GOOGLEFINANCE(""NSE:""&amp;C44,""open"",DATE(2026,1,1)),2,2),""N/A"")"),1443.7)</f>
        <v>1443.7</v>
      </c>
      <c r="F44" s="4">
        <f>IFERROR(__xludf.DUMMYFUNCTION("IFERROR(INDEX(GOOGLEFINANCE(""NSE:""&amp;C44,""open"",DATE(2026,4,1)),2,2),""N/A"")"),1158.5)</f>
        <v>1158.5</v>
      </c>
      <c r="G44" s="4">
        <f>IFERROR(__xludf.DUMMYFUNCTION("IFERROR(INDEX(GOOGLEFINANCE(""NSE:""&amp;C44,""open"",DATE(2026,5,2)),2,2),""N/A"")"),1256.2)</f>
        <v>1256.2</v>
      </c>
      <c r="H44" s="5">
        <f>IFERROR(__xludf.DUMMYFUNCTION("GOOGLEFINANCE(""NSE:""&amp;C44,""price"")"),1254.6)</f>
        <v>1254.6</v>
      </c>
      <c r="I44" s="5" t="str">
        <f t="shared" si="1"/>
        <v>🔴 -13.1%</v>
      </c>
      <c r="J44" s="5" t="str">
        <f t="shared" si="2"/>
        <v>🟢 +-7.7%</v>
      </c>
      <c r="K44" s="6" t="str">
        <f t="shared" si="3"/>
        <v>🔴 0.1%</v>
      </c>
    </row>
    <row r="45" ht="15.75" customHeight="1">
      <c r="A45" s="2">
        <v>44.0</v>
      </c>
      <c r="B45" s="2" t="s">
        <v>128</v>
      </c>
      <c r="C45" s="2" t="s">
        <v>129</v>
      </c>
      <c r="D45" s="2" t="s">
        <v>50</v>
      </c>
      <c r="E45" s="4">
        <f>IFERROR(__xludf.DUMMYFUNCTION("IFERROR(INDEX(GOOGLEFINANCE(""NSE:""&amp;C45,""open"",DATE(2026,1,1)),2,2),""N/A"")"),168.75)</f>
        <v>168.75</v>
      </c>
      <c r="F45" s="4">
        <f>IFERROR(__xludf.DUMMYFUNCTION("IFERROR(INDEX(GOOGLEFINANCE(""NSE:""&amp;C45,""open"",DATE(2026,4,1)),2,2),""N/A"")"),153.49)</f>
        <v>153.49</v>
      </c>
      <c r="G45" s="4">
        <f>IFERROR(__xludf.DUMMYFUNCTION("IFERROR(INDEX(GOOGLEFINANCE(""NSE:""&amp;C45,""open"",DATE(2026,5,2)),2,2),""N/A"")"),192.49)</f>
        <v>192.49</v>
      </c>
      <c r="H45" s="5">
        <f>IFERROR(__xludf.DUMMYFUNCTION("GOOGLEFINANCE(""NSE:""&amp;C45,""price"")"),187.0)</f>
        <v>187</v>
      </c>
      <c r="I45" s="5" t="str">
        <f t="shared" si="1"/>
        <v>🟢 +10.8%</v>
      </c>
      <c r="J45" s="5" t="str">
        <f t="shared" si="2"/>
        <v>🟢 +-17.9%</v>
      </c>
      <c r="K45" s="6" t="str">
        <f t="shared" si="3"/>
        <v>🔴 2.9%</v>
      </c>
    </row>
    <row r="46" ht="15.75" customHeight="1">
      <c r="A46" s="2">
        <v>45.0</v>
      </c>
      <c r="B46" s="2" t="s">
        <v>130</v>
      </c>
      <c r="C46" s="2" t="s">
        <v>131</v>
      </c>
      <c r="D46" s="2" t="s">
        <v>132</v>
      </c>
      <c r="E46" s="4">
        <f>IFERROR(__xludf.DUMMYFUNCTION("IFERROR(INDEX(GOOGLEFINANCE(""NSE:""&amp;C46,""open"",DATE(2026,1,1)),2,2),""N/A"")"),650.0)</f>
        <v>650</v>
      </c>
      <c r="F46" s="4">
        <f>IFERROR(__xludf.DUMMYFUNCTION("IFERROR(INDEX(GOOGLEFINANCE(""NSE:""&amp;C46,""open"",DATE(2026,4,1)),2,2),""N/A"")"),673.0)</f>
        <v>673</v>
      </c>
      <c r="G46" s="4">
        <f>IFERROR(__xludf.DUMMYFUNCTION("IFERROR(INDEX(GOOGLEFINANCE(""NSE:""&amp;C46,""open"",DATE(2026,5,2)),2,2),""N/A"")"),819.0)</f>
        <v>819</v>
      </c>
      <c r="H46" s="5">
        <f>IFERROR(__xludf.DUMMYFUNCTION("GOOGLEFINANCE(""NSE:""&amp;C46,""price"")"),827.0)</f>
        <v>827</v>
      </c>
      <c r="I46" s="5" t="str">
        <f t="shared" si="1"/>
        <v>🟢 +27.2%</v>
      </c>
      <c r="J46" s="5" t="str">
        <f t="shared" si="2"/>
        <v>🟢 +-18.6%</v>
      </c>
      <c r="K46" s="6" t="str">
        <f t="shared" si="3"/>
        <v>🟢 +-1.0%</v>
      </c>
    </row>
    <row r="47" ht="15.75" customHeight="1">
      <c r="A47" s="2">
        <v>46.0</v>
      </c>
      <c r="B47" s="2" t="s">
        <v>133</v>
      </c>
      <c r="C47" s="2" t="s">
        <v>134</v>
      </c>
      <c r="D47" s="2" t="s">
        <v>135</v>
      </c>
      <c r="E47" s="4">
        <f>IFERROR(__xludf.DUMMYFUNCTION("IFERROR(INDEX(GOOGLEFINANCE(""NSE:""&amp;C47,""open"",DATE(2026,1,1)),2,2),""N/A"")"),485.0)</f>
        <v>485</v>
      </c>
      <c r="F47" s="4">
        <f>IFERROR(__xludf.DUMMYFUNCTION("IFERROR(INDEX(GOOGLEFINANCE(""NSE:""&amp;C47,""open"",DATE(2026,4,1)),2,2),""N/A"")"),436.35)</f>
        <v>436.35</v>
      </c>
      <c r="G47" s="4">
        <f>IFERROR(__xludf.DUMMYFUNCTION("IFERROR(INDEX(GOOGLEFINANCE(""NSE:""&amp;C47,""open"",DATE(2026,5,2)),2,2),""N/A"")"),443.8)</f>
        <v>443.8</v>
      </c>
      <c r="H47" s="5">
        <f>IFERROR(__xludf.DUMMYFUNCTION("GOOGLEFINANCE(""NSE:""&amp;C47,""price"")"),442.05)</f>
        <v>442.05</v>
      </c>
      <c r="I47" s="5" t="str">
        <f t="shared" si="1"/>
        <v>🔴 -8.9%</v>
      </c>
      <c r="J47" s="5" t="str">
        <f t="shared" si="2"/>
        <v>🟢 +-1.3%</v>
      </c>
      <c r="K47" s="6" t="str">
        <f t="shared" si="3"/>
        <v>🔴 0.4%</v>
      </c>
    </row>
    <row r="48" ht="15.75" customHeight="1">
      <c r="A48" s="2">
        <v>47.0</v>
      </c>
      <c r="B48" s="2" t="s">
        <v>136</v>
      </c>
      <c r="C48" s="2" t="s">
        <v>137</v>
      </c>
      <c r="D48" s="2" t="s">
        <v>138</v>
      </c>
      <c r="E48" s="4">
        <f>IFERROR(__xludf.DUMMYFUNCTION("IFERROR(INDEX(GOOGLEFINANCE(""NSE:""&amp;C48,""open"",DATE(2026,1,1)),2,2),""N/A"")"),1707.1)</f>
        <v>1707.1</v>
      </c>
      <c r="F48" s="4">
        <f>IFERROR(__xludf.DUMMYFUNCTION("IFERROR(INDEX(GOOGLEFINANCE(""NSE:""&amp;C48,""open"",DATE(2026,4,1)),2,2),""N/A"")"),1401.9)</f>
        <v>1401.9</v>
      </c>
      <c r="G48" s="4">
        <f>IFERROR(__xludf.DUMMYFUNCTION("IFERROR(INDEX(GOOGLEFINANCE(""NSE:""&amp;C48,""open"",DATE(2026,5,2)),2,2),""N/A"")"),1564.8)</f>
        <v>1564.8</v>
      </c>
      <c r="H48" s="5">
        <f>IFERROR(__xludf.DUMMYFUNCTION("GOOGLEFINANCE(""NSE:""&amp;C48,""price"")"),1656.0)</f>
        <v>1656</v>
      </c>
      <c r="I48" s="5" t="str">
        <f t="shared" si="1"/>
        <v>🔴 -3.0%</v>
      </c>
      <c r="J48" s="5" t="str">
        <f t="shared" si="2"/>
        <v>🟢 +-15.3%</v>
      </c>
      <c r="K48" s="6" t="str">
        <f t="shared" si="3"/>
        <v>🟢 +-5.5%</v>
      </c>
    </row>
    <row r="49" ht="15.75" customHeight="1">
      <c r="A49" s="2">
        <v>48.0</v>
      </c>
      <c r="B49" s="2" t="s">
        <v>139</v>
      </c>
      <c r="C49" s="2" t="s">
        <v>140</v>
      </c>
      <c r="D49" s="2" t="s">
        <v>16</v>
      </c>
      <c r="E49" s="4">
        <f>IFERROR(__xludf.DUMMYFUNCTION("IFERROR(INDEX(GOOGLEFINANCE(""NSE:""&amp;C49,""open"",DATE(2026,1,1)),2,2),""N/A"")"),1512.0)</f>
        <v>1512</v>
      </c>
      <c r="F49" s="4">
        <f>IFERROR(__xludf.DUMMYFUNCTION("IFERROR(INDEX(GOOGLEFINANCE(""NSE:""&amp;C49,""open"",DATE(2026,4,1)),2,2),""N/A"")"),1255.0)</f>
        <v>1255</v>
      </c>
      <c r="G49" s="4">
        <f>IFERROR(__xludf.DUMMYFUNCTION("IFERROR(INDEX(GOOGLEFINANCE(""NSE:""&amp;C49,""open"",DATE(2026,5,2)),2,2),""N/A"")"),1320.0)</f>
        <v>1320</v>
      </c>
      <c r="H49" s="5">
        <f>IFERROR(__xludf.DUMMYFUNCTION("GOOGLEFINANCE(""NSE:""&amp;C49,""price"")"),1335.2)</f>
        <v>1335.2</v>
      </c>
      <c r="I49" s="5" t="str">
        <f t="shared" si="1"/>
        <v>🔴 -11.7%</v>
      </c>
      <c r="J49" s="5" t="str">
        <f t="shared" si="2"/>
        <v>🟢 +-6.0%</v>
      </c>
      <c r="K49" s="6" t="str">
        <f t="shared" si="3"/>
        <v>🟢 +-1.1%</v>
      </c>
    </row>
    <row r="50" ht="15.75" customHeight="1">
      <c r="A50" s="2">
        <v>49.0</v>
      </c>
      <c r="B50" s="2" t="s">
        <v>141</v>
      </c>
      <c r="C50" s="2" t="s">
        <v>142</v>
      </c>
      <c r="D50" s="2" t="s">
        <v>143</v>
      </c>
      <c r="E50" s="4">
        <f>IFERROR(__xludf.DUMMYFUNCTION("IFERROR(INDEX(GOOGLEFINANCE(""NSE:""&amp;C50,""open"",DATE(2026,1,1)),2,2),""N/A"")"),399.0)</f>
        <v>399</v>
      </c>
      <c r="F50" s="4">
        <f>IFERROR(__xludf.DUMMYFUNCTION("IFERROR(INDEX(GOOGLEFINANCE(""NSE:""&amp;C50,""open"",DATE(2026,4,1)),2,2),""N/A"")"),464.0)</f>
        <v>464</v>
      </c>
      <c r="G50" s="4">
        <f>IFERROR(__xludf.DUMMYFUNCTION("IFERROR(INDEX(GOOGLEFINANCE(""NSE:""&amp;C50,""open"",DATE(2026,5,2)),2,2),""N/A"")"),481.6)</f>
        <v>481.6</v>
      </c>
      <c r="H50" s="5">
        <f>IFERROR(__xludf.DUMMYFUNCTION("GOOGLEFINANCE(""NSE:""&amp;C50,""price"")"),472.85)</f>
        <v>472.85</v>
      </c>
      <c r="I50" s="5" t="str">
        <f t="shared" si="1"/>
        <v>🟢 +18.5%</v>
      </c>
      <c r="J50" s="5" t="str">
        <f t="shared" si="2"/>
        <v>🟢 +-1.9%</v>
      </c>
      <c r="K50" s="6" t="str">
        <f t="shared" si="3"/>
        <v>🔴 1.9%</v>
      </c>
    </row>
    <row r="51" ht="15.75" customHeight="1">
      <c r="A51" s="2">
        <v>50.0</v>
      </c>
      <c r="B51" s="2" t="s">
        <v>144</v>
      </c>
      <c r="C51" s="2" t="s">
        <v>145</v>
      </c>
      <c r="D51" s="2" t="s">
        <v>146</v>
      </c>
      <c r="E51" s="4">
        <f>IFERROR(__xludf.DUMMYFUNCTION("IFERROR(INDEX(GOOGLEFINANCE(""NSE:""&amp;C51,""open"",DATE(2026,1,1)),2,2),""N/A"")"),1622.0)</f>
        <v>1622</v>
      </c>
      <c r="F51" s="4">
        <f>IFERROR(__xludf.DUMMYFUNCTION("IFERROR(INDEX(GOOGLEFINANCE(""NSE:""&amp;C51,""open"",DATE(2026,4,1)),2,2),""N/A"")"),1244.9)</f>
        <v>1244.9</v>
      </c>
      <c r="G51" s="4">
        <f>IFERROR(__xludf.DUMMYFUNCTION("IFERROR(INDEX(GOOGLEFINANCE(""NSE:""&amp;C51,""open"",DATE(2026,5,2)),2,2),""N/A"")"),1742.0)</f>
        <v>1742</v>
      </c>
      <c r="H51" s="5">
        <f>IFERROR(__xludf.DUMMYFUNCTION("GOOGLEFINANCE(""NSE:""&amp;C51,""price"")"),1718.0)</f>
        <v>1718</v>
      </c>
      <c r="I51" s="5" t="str">
        <f t="shared" si="1"/>
        <v>🟢 +5.9%</v>
      </c>
      <c r="J51" s="5" t="str">
        <f t="shared" si="2"/>
        <v>🟢 +-27.5%</v>
      </c>
      <c r="K51" s="6" t="str">
        <f t="shared" si="3"/>
        <v>🔴 1.4%</v>
      </c>
    </row>
    <row r="52" ht="15.75" customHeight="1">
      <c r="A52" s="2">
        <v>51.0</v>
      </c>
      <c r="B52" s="2" t="s">
        <v>147</v>
      </c>
      <c r="C52" s="2" t="s">
        <v>148</v>
      </c>
      <c r="D52" s="2" t="s">
        <v>149</v>
      </c>
      <c r="E52" s="4">
        <f>IFERROR(__xludf.DUMMYFUNCTION("IFERROR(INDEX(GOOGLEFINANCE(""NSE:""&amp;C52,""open"",DATE(2026,1,1)),2,2),""N/A"")"),1670.0)</f>
        <v>1670</v>
      </c>
      <c r="F52" s="4">
        <f>IFERROR(__xludf.DUMMYFUNCTION("IFERROR(INDEX(GOOGLEFINANCE(""NSE:""&amp;C52,""open"",DATE(2026,4,1)),2,2),""N/A"")"),1150.0)</f>
        <v>1150</v>
      </c>
      <c r="G52" s="4">
        <f>IFERROR(__xludf.DUMMYFUNCTION("IFERROR(INDEX(GOOGLEFINANCE(""NSE:""&amp;C52,""open"",DATE(2026,5,2)),2,2),""N/A"")"),1209.8)</f>
        <v>1209.8</v>
      </c>
      <c r="H52" s="5">
        <f>IFERROR(__xludf.DUMMYFUNCTION("GOOGLEFINANCE(""NSE:""&amp;C52,""price"")"),1168.0)</f>
        <v>1168</v>
      </c>
      <c r="I52" s="5" t="str">
        <f t="shared" si="1"/>
        <v>🔴 -30.1%</v>
      </c>
      <c r="J52" s="5" t="str">
        <f t="shared" si="2"/>
        <v>🟢 +-1.5%</v>
      </c>
      <c r="K52" s="6" t="str">
        <f t="shared" si="3"/>
        <v>🔴 3.6%</v>
      </c>
    </row>
    <row r="53" ht="15.75" customHeight="1">
      <c r="A53" s="2">
        <v>52.0</v>
      </c>
      <c r="B53" s="2" t="s">
        <v>150</v>
      </c>
      <c r="C53" s="2" t="s">
        <v>151</v>
      </c>
      <c r="D53" s="2" t="s">
        <v>56</v>
      </c>
      <c r="E53" s="4">
        <f>IFERROR(__xludf.DUMMYFUNCTION("IFERROR(INDEX(GOOGLEFINANCE(""NSE:""&amp;C53,""open"",DATE(2026,1,1)),2,2),""N/A"")"),2086.1)</f>
        <v>2086.1</v>
      </c>
      <c r="F53" s="4">
        <f>IFERROR(__xludf.DUMMYFUNCTION("IFERROR(INDEX(GOOGLEFINANCE(""NSE:""&amp;C53,""open"",DATE(2026,4,1)),2,2),""N/A"")"),1822.0)</f>
        <v>1822</v>
      </c>
      <c r="G53" s="4">
        <f>IFERROR(__xludf.DUMMYFUNCTION("IFERROR(INDEX(GOOGLEFINANCE(""NSE:""&amp;C53,""open"",DATE(2026,5,2)),2,2),""N/A"")"),2110.2)</f>
        <v>2110.2</v>
      </c>
      <c r="H53" s="5">
        <f>IFERROR(__xludf.DUMMYFUNCTION("GOOGLEFINANCE(""NSE:""&amp;C53,""price"")"),2171.7)</f>
        <v>2171.7</v>
      </c>
      <c r="I53" s="5" t="str">
        <f t="shared" si="1"/>
        <v>🟢 +4.1%</v>
      </c>
      <c r="J53" s="5" t="str">
        <f t="shared" si="2"/>
        <v>🟢 +-16.1%</v>
      </c>
      <c r="K53" s="6" t="str">
        <f t="shared" si="3"/>
        <v>🟢 +-2.8%</v>
      </c>
    </row>
    <row r="54" ht="15.75" customHeight="1">
      <c r="A54" s="2">
        <v>53.0</v>
      </c>
      <c r="B54" s="2" t="s">
        <v>152</v>
      </c>
      <c r="C54" s="2" t="s">
        <v>153</v>
      </c>
      <c r="D54" s="2" t="s">
        <v>99</v>
      </c>
      <c r="E54" s="4">
        <f>IFERROR(__xludf.DUMMYFUNCTION("IFERROR(INDEX(GOOGLEFINANCE(""NSE:""&amp;C54,""open"",DATE(2026,1,1)),2,2),""N/A"")"),527.55)</f>
        <v>527.55</v>
      </c>
      <c r="F54" s="4">
        <f>IFERROR(__xludf.DUMMYFUNCTION("IFERROR(INDEX(GOOGLEFINANCE(""NSE:""&amp;C54,""open"",DATE(2026,4,1)),2,2),""N/A"")"),437.95)</f>
        <v>437.95</v>
      </c>
      <c r="G54" s="4">
        <f>IFERROR(__xludf.DUMMYFUNCTION("IFERROR(INDEX(GOOGLEFINANCE(""NSE:""&amp;C54,""open"",DATE(2026,5,2)),2,2),""N/A"")"),509.5)</f>
        <v>509.5</v>
      </c>
      <c r="H54" s="5">
        <f>IFERROR(__xludf.DUMMYFUNCTION("GOOGLEFINANCE(""NSE:""&amp;C54,""price"")"),518.5)</f>
        <v>518.5</v>
      </c>
      <c r="I54" s="5" t="str">
        <f t="shared" si="1"/>
        <v>🔴 -1.7%</v>
      </c>
      <c r="J54" s="5" t="str">
        <f t="shared" si="2"/>
        <v>🟢 +-15.5%</v>
      </c>
      <c r="K54" s="6" t="str">
        <f t="shared" si="3"/>
        <v>🟢 +-1.7%</v>
      </c>
    </row>
    <row r="55" ht="15.75" customHeight="1">
      <c r="A55" s="2">
        <v>54.0</v>
      </c>
      <c r="B55" s="2" t="s">
        <v>154</v>
      </c>
      <c r="C55" s="2" t="s">
        <v>155</v>
      </c>
      <c r="D55" s="2" t="s">
        <v>156</v>
      </c>
      <c r="E55" s="4">
        <f>IFERROR(__xludf.DUMMYFUNCTION("IFERROR(INDEX(GOOGLEFINANCE(""NSE:""&amp;C55,""open"",DATE(2026,1,1)),2,2),""N/A"")"),2281.7)</f>
        <v>2281.7</v>
      </c>
      <c r="F55" s="4">
        <f>IFERROR(__xludf.DUMMYFUNCTION("IFERROR(INDEX(GOOGLEFINANCE(""NSE:""&amp;C55,""open"",DATE(2026,4,1)),2,2),""N/A"")"),1935.0)</f>
        <v>1935</v>
      </c>
      <c r="G55" s="4">
        <f>IFERROR(__xludf.DUMMYFUNCTION("IFERROR(INDEX(GOOGLEFINANCE(""NSE:""&amp;C55,""open"",DATE(2026,5,2)),2,2),""N/A"")"),1990.2)</f>
        <v>1990.2</v>
      </c>
      <c r="H55" s="5">
        <f>IFERROR(__xludf.DUMMYFUNCTION("GOOGLEFINANCE(""NSE:""&amp;C55,""price"")"),2012.9)</f>
        <v>2012.9</v>
      </c>
      <c r="I55" s="5" t="str">
        <f t="shared" si="1"/>
        <v>🔴 -11.8%</v>
      </c>
      <c r="J55" s="5" t="str">
        <f t="shared" si="2"/>
        <v>🟢 +-3.9%</v>
      </c>
      <c r="K55" s="6" t="str">
        <f t="shared" si="3"/>
        <v>🟢 +-1.1%</v>
      </c>
    </row>
    <row r="56" ht="15.75" customHeight="1">
      <c r="A56" s="2">
        <v>55.0</v>
      </c>
      <c r="B56" s="2" t="s">
        <v>157</v>
      </c>
      <c r="C56" s="2" t="s">
        <v>158</v>
      </c>
      <c r="D56" s="2" t="s">
        <v>159</v>
      </c>
      <c r="E56" s="4">
        <f>IFERROR(__xludf.DUMMYFUNCTION("IFERROR(INDEX(GOOGLEFINANCE(""NSE:""&amp;C56,""open"",DATE(2026,1,1)),2,2),""N/A"")"),252.3)</f>
        <v>252.3</v>
      </c>
      <c r="F56" s="4">
        <f>IFERROR(__xludf.DUMMYFUNCTION("IFERROR(INDEX(GOOGLEFINANCE(""NSE:""&amp;C56,""open"",DATE(2026,4,1)),2,2),""N/A"")"),228.7)</f>
        <v>228.7</v>
      </c>
      <c r="G56" s="4">
        <f>IFERROR(__xludf.DUMMYFUNCTION("IFERROR(INDEX(GOOGLEFINANCE(""NSE:""&amp;C56,""open"",DATE(2026,5,2)),2,2),""N/A"")"),273.0)</f>
        <v>273</v>
      </c>
      <c r="H56" s="5">
        <f>IFERROR(__xludf.DUMMYFUNCTION("GOOGLEFINANCE(""NSE:""&amp;C56,""price"")"),276.9)</f>
        <v>276.9</v>
      </c>
      <c r="I56" s="5" t="str">
        <f t="shared" si="1"/>
        <v>🟢 +9.8%</v>
      </c>
      <c r="J56" s="5" t="str">
        <f t="shared" si="2"/>
        <v>🟢 +-17.4%</v>
      </c>
      <c r="K56" s="6" t="str">
        <f t="shared" si="3"/>
        <v>🟢 +-1.4%</v>
      </c>
    </row>
    <row r="57" ht="15.75" customHeight="1">
      <c r="A57" s="2">
        <v>56.0</v>
      </c>
      <c r="B57" s="2" t="s">
        <v>160</v>
      </c>
      <c r="C57" s="2" t="s">
        <v>161</v>
      </c>
      <c r="D57" s="2" t="s">
        <v>156</v>
      </c>
      <c r="E57" s="4">
        <f>IFERROR(__xludf.DUMMYFUNCTION("IFERROR(INDEX(GOOGLEFINANCE(""NSE:""&amp;C57,""open"",DATE(2026,1,1)),2,2),""N/A"")"),4439.0)</f>
        <v>4439</v>
      </c>
      <c r="F57" s="4">
        <f>IFERROR(__xludf.DUMMYFUNCTION("IFERROR(INDEX(GOOGLEFINANCE(""NSE:""&amp;C57,""open"",DATE(2026,4,1)),2,2),""N/A"")"),4640.0)</f>
        <v>4640</v>
      </c>
      <c r="G57" s="4">
        <f>IFERROR(__xludf.DUMMYFUNCTION("IFERROR(INDEX(GOOGLEFINANCE(""NSE:""&amp;C57,""open"",DATE(2026,5,2)),2,2),""N/A"")"),5300.0)</f>
        <v>5300</v>
      </c>
      <c r="H57" s="5">
        <f>IFERROR(__xludf.DUMMYFUNCTION("GOOGLEFINANCE(""NSE:""&amp;C57,""price"")"),5257.5)</f>
        <v>5257.5</v>
      </c>
      <c r="I57" s="5" t="str">
        <f t="shared" si="1"/>
        <v>🟢 +18.4%</v>
      </c>
      <c r="J57" s="5" t="str">
        <f t="shared" si="2"/>
        <v>🟢 +-11.7%</v>
      </c>
      <c r="K57" s="6" t="str">
        <f t="shared" si="3"/>
        <v>🔴 0.8%</v>
      </c>
    </row>
    <row r="58" ht="15.75" customHeight="1">
      <c r="A58" s="2">
        <v>57.0</v>
      </c>
      <c r="B58" s="2" t="s">
        <v>162</v>
      </c>
      <c r="C58" s="2" t="s">
        <v>163</v>
      </c>
      <c r="D58" s="2" t="s">
        <v>68</v>
      </c>
      <c r="E58" s="4">
        <f>IFERROR(__xludf.DUMMYFUNCTION("IFERROR(INDEX(GOOGLEFINANCE(""NSE:""&amp;C58,""open"",DATE(2026,1,1)),2,2),""N/A"")"),505.0)</f>
        <v>505</v>
      </c>
      <c r="F58" s="4">
        <f>IFERROR(__xludf.DUMMYFUNCTION("IFERROR(INDEX(GOOGLEFINANCE(""NSE:""&amp;C58,""open"",DATE(2026,4,1)),2,2),""N/A"")"),420.0)</f>
        <v>420</v>
      </c>
      <c r="G58" s="4">
        <f>IFERROR(__xludf.DUMMYFUNCTION("IFERROR(INDEX(GOOGLEFINANCE(""NSE:""&amp;C58,""open"",DATE(2026,5,2)),2,2),""N/A"")"),445.0)</f>
        <v>445</v>
      </c>
      <c r="H58" s="5">
        <f>IFERROR(__xludf.DUMMYFUNCTION("GOOGLEFINANCE(""NSE:""&amp;C58,""price"")"),462.0)</f>
        <v>462</v>
      </c>
      <c r="I58" s="5" t="str">
        <f t="shared" si="1"/>
        <v>🔴 -8.5%</v>
      </c>
      <c r="J58" s="5" t="str">
        <f t="shared" si="2"/>
        <v>🟢 +-9.1%</v>
      </c>
      <c r="K58" s="6" t="str">
        <f t="shared" si="3"/>
        <v>🟢 +-3.7%</v>
      </c>
    </row>
    <row r="59" ht="15.75" customHeight="1">
      <c r="A59" s="2">
        <v>58.0</v>
      </c>
      <c r="B59" s="2" t="s">
        <v>164</v>
      </c>
      <c r="C59" s="2" t="s">
        <v>165</v>
      </c>
      <c r="D59" s="2" t="s">
        <v>13</v>
      </c>
      <c r="E59" s="4">
        <f>IFERROR(__xludf.DUMMYFUNCTION("IFERROR(INDEX(GOOGLEFINANCE(""NSE:""&amp;C59,""open"",DATE(2026,1,1)),2,2),""N/A"")"),2145.3)</f>
        <v>2145.3</v>
      </c>
      <c r="F59" s="4">
        <f>IFERROR(__xludf.DUMMYFUNCTION("IFERROR(INDEX(GOOGLEFINANCE(""NSE:""&amp;C59,""open"",DATE(2026,4,1)),2,2),""N/A"")"),1850.0)</f>
        <v>1850</v>
      </c>
      <c r="G59" s="4">
        <f>IFERROR(__xludf.DUMMYFUNCTION("IFERROR(INDEX(GOOGLEFINANCE(""NSE:""&amp;C59,""open"",DATE(2026,5,2)),2,2),""N/A"")"),1928.7)</f>
        <v>1928.7</v>
      </c>
      <c r="H59" s="5">
        <f>IFERROR(__xludf.DUMMYFUNCTION("GOOGLEFINANCE(""NSE:""&amp;C59,""price"")"),1967.9)</f>
        <v>1967.9</v>
      </c>
      <c r="I59" s="5" t="str">
        <f t="shared" si="1"/>
        <v>🔴 -8.3%</v>
      </c>
      <c r="J59" s="5" t="str">
        <f t="shared" si="2"/>
        <v>🟢 +-6.0%</v>
      </c>
      <c r="K59" s="6" t="str">
        <f t="shared" si="3"/>
        <v>🟢 +-2.0%</v>
      </c>
    </row>
    <row r="60" ht="15.75" customHeight="1">
      <c r="A60" s="2">
        <v>59.0</v>
      </c>
      <c r="B60" s="2" t="s">
        <v>166</v>
      </c>
      <c r="C60" s="2" t="s">
        <v>167</v>
      </c>
      <c r="D60" s="2" t="s">
        <v>168</v>
      </c>
      <c r="E60" s="4">
        <f>IFERROR(__xludf.DUMMYFUNCTION("IFERROR(INDEX(GOOGLEFINANCE(""NSE:""&amp;C60,""open"",DATE(2026,1,1)),2,2),""N/A"")"),403.05)</f>
        <v>403.05</v>
      </c>
      <c r="F60" s="4">
        <f>IFERROR(__xludf.DUMMYFUNCTION("IFERROR(INDEX(GOOGLEFINANCE(""NSE:""&amp;C60,""open"",DATE(2026,4,1)),2,2),""N/A"")"),427.0)</f>
        <v>427</v>
      </c>
      <c r="G60" s="4">
        <f>IFERROR(__xludf.DUMMYFUNCTION("IFERROR(INDEX(GOOGLEFINANCE(""NSE:""&amp;C60,""open"",DATE(2026,5,2)),2,2),""N/A"")"),472.0)</f>
        <v>472</v>
      </c>
      <c r="H60" s="5">
        <f>IFERROR(__xludf.DUMMYFUNCTION("GOOGLEFINANCE(""NSE:""&amp;C60,""price"")"),461.0)</f>
        <v>461</v>
      </c>
      <c r="I60" s="5" t="str">
        <f t="shared" si="1"/>
        <v>🟢 +14.4%</v>
      </c>
      <c r="J60" s="5" t="str">
        <f t="shared" si="2"/>
        <v>🟢 +-7.4%</v>
      </c>
      <c r="K60" s="6" t="str">
        <f t="shared" si="3"/>
        <v>🔴 2.4%</v>
      </c>
    </row>
    <row r="61" ht="15.75" customHeight="1">
      <c r="A61" s="2">
        <v>60.0</v>
      </c>
      <c r="B61" s="2" t="s">
        <v>169</v>
      </c>
      <c r="C61" s="2" t="s">
        <v>170</v>
      </c>
      <c r="D61" s="2" t="s">
        <v>50</v>
      </c>
      <c r="E61" s="4">
        <f>IFERROR(__xludf.DUMMYFUNCTION("IFERROR(INDEX(GOOGLEFINANCE(""NSE:""&amp;C61,""open"",DATE(2026,1,1)),2,2),""N/A"")"),1731.7)</f>
        <v>1731.7</v>
      </c>
      <c r="F61" s="4">
        <f>IFERROR(__xludf.DUMMYFUNCTION("IFERROR(INDEX(GOOGLEFINANCE(""NSE:""&amp;C61,""open"",DATE(2026,4,1)),2,2),""N/A"")"),1329.9)</f>
        <v>1329.9</v>
      </c>
      <c r="G61" s="4">
        <f>IFERROR(__xludf.DUMMYFUNCTION("IFERROR(INDEX(GOOGLEFINANCE(""NSE:""&amp;C61,""open"",DATE(2026,5,2)),2,2),""N/A"")"),1749.9)</f>
        <v>1749.9</v>
      </c>
      <c r="H61" s="5">
        <f>IFERROR(__xludf.DUMMYFUNCTION("GOOGLEFINANCE(""NSE:""&amp;C61,""price"")"),1771.9)</f>
        <v>1771.9</v>
      </c>
      <c r="I61" s="5" t="str">
        <f t="shared" si="1"/>
        <v>🟢 +2.3%</v>
      </c>
      <c r="J61" s="5" t="str">
        <f t="shared" si="2"/>
        <v>🟢 +-24.9%</v>
      </c>
      <c r="K61" s="6" t="str">
        <f t="shared" si="3"/>
        <v>🟢 +-1.2%</v>
      </c>
    </row>
    <row r="62" ht="15.75" customHeight="1">
      <c r="A62" s="2">
        <v>61.0</v>
      </c>
      <c r="B62" s="2" t="s">
        <v>171</v>
      </c>
      <c r="C62" s="2" t="s">
        <v>172</v>
      </c>
      <c r="D62" s="2" t="s">
        <v>34</v>
      </c>
      <c r="E62" s="4">
        <f>IFERROR(__xludf.DUMMYFUNCTION("IFERROR(INDEX(GOOGLEFINANCE(""NSE:""&amp;C62,""open"",DATE(2026,1,1)),2,2),""N/A"")"),12112.0)</f>
        <v>12112</v>
      </c>
      <c r="F62" s="4">
        <f>IFERROR(__xludf.DUMMYFUNCTION("IFERROR(INDEX(GOOGLEFINANCE(""NSE:""&amp;C62,""open"",DATE(2026,4,1)),2,2),""N/A"")"),10100.0)</f>
        <v>10100</v>
      </c>
      <c r="G62" s="4">
        <f>IFERROR(__xludf.DUMMYFUNCTION("IFERROR(INDEX(GOOGLEFINANCE(""NSE:""&amp;C62,""open"",DATE(2026,5,2)),2,2),""N/A"")"),11299.0)</f>
        <v>11299</v>
      </c>
      <c r="H62" s="5">
        <f>IFERROR(__xludf.DUMMYFUNCTION("GOOGLEFINANCE(""NSE:""&amp;C62,""price"")"),11287.0)</f>
        <v>11287</v>
      </c>
      <c r="I62" s="5" t="str">
        <f t="shared" si="1"/>
        <v>🔴 -6.8%</v>
      </c>
      <c r="J62" s="5" t="str">
        <f t="shared" si="2"/>
        <v>🟢 +-10.5%</v>
      </c>
      <c r="K62" s="6" t="str">
        <f t="shared" si="3"/>
        <v>🔴 0.1%</v>
      </c>
    </row>
    <row r="63" ht="15.75" customHeight="1">
      <c r="A63" s="2">
        <v>62.0</v>
      </c>
      <c r="B63" s="2" t="s">
        <v>173</v>
      </c>
      <c r="C63" s="2" t="s">
        <v>173</v>
      </c>
      <c r="D63" s="2" t="s">
        <v>174</v>
      </c>
      <c r="E63" s="4">
        <f>IFERROR(__xludf.DUMMYFUNCTION("IFERROR(INDEX(GOOGLEFINANCE(""NSE:""&amp;C63,""open"",DATE(2026,1,1)),2,2),""N/A"")"),690.2)</f>
        <v>690.2</v>
      </c>
      <c r="F63" s="4">
        <f>IFERROR(__xludf.DUMMYFUNCTION("IFERROR(INDEX(GOOGLEFINANCE(""NSE:""&amp;C63,""open"",DATE(2026,4,1)),2,2),""N/A"")"),519.95)</f>
        <v>519.95</v>
      </c>
      <c r="G63" s="4">
        <f>IFERROR(__xludf.DUMMYFUNCTION("IFERROR(INDEX(GOOGLEFINANCE(""NSE:""&amp;C63,""open"",DATE(2026,5,2)),2,2),""N/A"")"),592.8)</f>
        <v>592.8</v>
      </c>
      <c r="H63" s="5">
        <f>IFERROR(__xludf.DUMMYFUNCTION("GOOGLEFINANCE(""NSE:""&amp;C63,""price"")"),597.0)</f>
        <v>597</v>
      </c>
      <c r="I63" s="5" t="str">
        <f t="shared" si="1"/>
        <v>🔴 -13.5%</v>
      </c>
      <c r="J63" s="5" t="str">
        <f t="shared" si="2"/>
        <v>🟢 +-12.9%</v>
      </c>
      <c r="K63" s="6" t="str">
        <f t="shared" si="3"/>
        <v>🟢 +-0.7%</v>
      </c>
    </row>
    <row r="64" ht="15.75" customHeight="1">
      <c r="A64" s="2">
        <v>63.0</v>
      </c>
      <c r="B64" s="2" t="s">
        <v>175</v>
      </c>
      <c r="C64" s="2" t="s">
        <v>176</v>
      </c>
      <c r="D64" s="2" t="s">
        <v>177</v>
      </c>
      <c r="E64" s="4">
        <f>IFERROR(__xludf.DUMMYFUNCTION("IFERROR(INDEX(GOOGLEFINANCE(""NSE:""&amp;C64,""open"",DATE(2026,1,1)),2,2),""N/A"")"),6398.0)</f>
        <v>6398</v>
      </c>
      <c r="F64" s="4">
        <f>IFERROR(__xludf.DUMMYFUNCTION("IFERROR(INDEX(GOOGLEFINANCE(""NSE:""&amp;C64,""open"",DATE(2026,4,1)),2,2),""N/A"")"),6002.0)</f>
        <v>6002</v>
      </c>
      <c r="G64" s="4">
        <f>IFERROR(__xludf.DUMMYFUNCTION("IFERROR(INDEX(GOOGLEFINANCE(""NSE:""&amp;C64,""open"",DATE(2026,5,2)),2,2),""N/A"")"),6508.0)</f>
        <v>6508</v>
      </c>
      <c r="H64" s="5">
        <f>IFERROR(__xludf.DUMMYFUNCTION("GOOGLEFINANCE(""NSE:""&amp;C64,""price"")"),6670.0)</f>
        <v>6670</v>
      </c>
      <c r="I64" s="5" t="str">
        <f t="shared" si="1"/>
        <v>🟢 +4.3%</v>
      </c>
      <c r="J64" s="5" t="str">
        <f t="shared" si="2"/>
        <v>🟢 +-10.0%</v>
      </c>
      <c r="K64" s="6" t="str">
        <f t="shared" si="3"/>
        <v>🟢 +-2.4%</v>
      </c>
    </row>
    <row r="65" ht="15.75" customHeight="1">
      <c r="A65" s="2">
        <v>64.0</v>
      </c>
      <c r="B65" s="2" t="s">
        <v>178</v>
      </c>
      <c r="C65" s="2" t="s">
        <v>179</v>
      </c>
      <c r="D65" s="2" t="s">
        <v>40</v>
      </c>
      <c r="E65" s="4">
        <f>IFERROR(__xludf.DUMMYFUNCTION("IFERROR(INDEX(GOOGLEFINANCE(""NSE:""&amp;C65,""open"",DATE(2026,1,1)),2,2),""N/A"")"),1483.3)</f>
        <v>1483.3</v>
      </c>
      <c r="F65" s="4">
        <f>IFERROR(__xludf.DUMMYFUNCTION("IFERROR(INDEX(GOOGLEFINANCE(""NSE:""&amp;C65,""open"",DATE(2026,4,1)),2,2),""N/A"")"),1316.2)</f>
        <v>1316.2</v>
      </c>
      <c r="G65" s="4">
        <f>IFERROR(__xludf.DUMMYFUNCTION("IFERROR(INDEX(GOOGLEFINANCE(""NSE:""&amp;C65,""open"",DATE(2026,5,2)),2,2),""N/A"")"),1390.4)</f>
        <v>1390.4</v>
      </c>
      <c r="H65" s="5">
        <f>IFERROR(__xludf.DUMMYFUNCTION("GOOGLEFINANCE(""NSE:""&amp;C65,""price"")"),1534.0)</f>
        <v>1534</v>
      </c>
      <c r="I65" s="5" t="str">
        <f t="shared" si="1"/>
        <v>🟢 +3.4%</v>
      </c>
      <c r="J65" s="5" t="str">
        <f t="shared" si="2"/>
        <v>🟢 +-14.2%</v>
      </c>
      <c r="K65" s="6" t="str">
        <f t="shared" si="3"/>
        <v>🟢 +-9.4%</v>
      </c>
    </row>
    <row r="66" ht="15.75" customHeight="1">
      <c r="A66" s="2">
        <v>65.0</v>
      </c>
      <c r="B66" s="2" t="s">
        <v>180</v>
      </c>
      <c r="C66" s="2" t="s">
        <v>181</v>
      </c>
      <c r="D66" s="2" t="s">
        <v>99</v>
      </c>
      <c r="E66" s="4">
        <f>IFERROR(__xludf.DUMMYFUNCTION("IFERROR(INDEX(GOOGLEFINANCE(""NSE:""&amp;C66,""open"",DATE(2026,1,1)),2,2),""N/A"")"),1270.0)</f>
        <v>1270</v>
      </c>
      <c r="F66" s="4">
        <f>IFERROR(__xludf.DUMMYFUNCTION("IFERROR(INDEX(GOOGLEFINANCE(""NSE:""&amp;C66,""open"",DATE(2026,4,1)),2,2),""N/A"")"),1280.0)</f>
        <v>1280</v>
      </c>
      <c r="G66" s="4">
        <f>IFERROR(__xludf.DUMMYFUNCTION("IFERROR(INDEX(GOOGLEFINANCE(""NSE:""&amp;C66,""open"",DATE(2026,5,2)),2,2),""N/A"")"),1320.0)</f>
        <v>1320</v>
      </c>
      <c r="H66" s="5">
        <f>IFERROR(__xludf.DUMMYFUNCTION("GOOGLEFINANCE(""NSE:""&amp;C66,""price"")"),1272.1)</f>
        <v>1272.1</v>
      </c>
      <c r="I66" s="5" t="str">
        <f t="shared" si="1"/>
        <v>🟢 +0.2%</v>
      </c>
      <c r="J66" s="5" t="str">
        <f t="shared" si="2"/>
        <v>🔴 0.6%</v>
      </c>
      <c r="K66" s="6" t="str">
        <f t="shared" si="3"/>
        <v>🔴 3.8%</v>
      </c>
    </row>
    <row r="67" ht="15.75" customHeight="1">
      <c r="A67" s="2">
        <v>66.0</v>
      </c>
      <c r="B67" s="2" t="s">
        <v>182</v>
      </c>
      <c r="C67" s="2" t="s">
        <v>183</v>
      </c>
      <c r="D67" s="2" t="s">
        <v>184</v>
      </c>
      <c r="E67" s="4">
        <f>IFERROR(__xludf.DUMMYFUNCTION("IFERROR(INDEX(GOOGLEFINANCE(""NSE:""&amp;C67,""open"",DATE(2026,1,1)),2,2),""N/A"")"),7317.0)</f>
        <v>7317</v>
      </c>
      <c r="F67" s="4">
        <f>IFERROR(__xludf.DUMMYFUNCTION("IFERROR(INDEX(GOOGLEFINANCE(""NSE:""&amp;C67,""open"",DATE(2026,4,1)),2,2),""N/A"")"),6787.5)</f>
        <v>6787.5</v>
      </c>
      <c r="G67" s="4">
        <f>IFERROR(__xludf.DUMMYFUNCTION("IFERROR(INDEX(GOOGLEFINANCE(""NSE:""&amp;C67,""open"",DATE(2026,5,2)),2,2),""N/A"")"),7109.0)</f>
        <v>7109</v>
      </c>
      <c r="H67" s="5">
        <f>IFERROR(__xludf.DUMMYFUNCTION("GOOGLEFINANCE(""NSE:""&amp;C67,""price"")"),7300.0)</f>
        <v>7300</v>
      </c>
      <c r="I67" s="5" t="str">
        <f t="shared" si="1"/>
        <v>🔴 -0.2%</v>
      </c>
      <c r="J67" s="5" t="str">
        <f t="shared" si="2"/>
        <v>🟢 +-7.0%</v>
      </c>
      <c r="K67" s="6" t="str">
        <f t="shared" si="3"/>
        <v>🟢 +-2.6%</v>
      </c>
    </row>
    <row r="68" ht="15.75" customHeight="1">
      <c r="A68" s="2">
        <v>67.0</v>
      </c>
      <c r="B68" s="2" t="s">
        <v>185</v>
      </c>
      <c r="C68" s="2" t="s">
        <v>186</v>
      </c>
      <c r="D68" s="2" t="s">
        <v>50</v>
      </c>
      <c r="E68" s="4">
        <f>IFERROR(__xludf.DUMMYFUNCTION("IFERROR(INDEX(GOOGLEFINANCE(""NSE:""&amp;C68,""open"",DATE(2026,1,1)),2,2),""N/A"")"),3721.0)</f>
        <v>3721</v>
      </c>
      <c r="F68" s="4">
        <f>IFERROR(__xludf.DUMMYFUNCTION("IFERROR(INDEX(GOOGLEFINANCE(""NSE:""&amp;C68,""open"",DATE(2026,4,1)),2,2),""N/A"")"),2800.0)</f>
        <v>2800</v>
      </c>
      <c r="G68" s="4">
        <f>IFERROR(__xludf.DUMMYFUNCTION("IFERROR(INDEX(GOOGLEFINANCE(""NSE:""&amp;C68,""open"",DATE(2026,5,2)),2,2),""N/A"")"),3305.0)</f>
        <v>3305</v>
      </c>
      <c r="H68" s="5">
        <f>IFERROR(__xludf.DUMMYFUNCTION("GOOGLEFINANCE(""NSE:""&amp;C68,""price"")"),3209.0)</f>
        <v>3209</v>
      </c>
      <c r="I68" s="5" t="str">
        <f t="shared" si="1"/>
        <v>🔴 -13.8%</v>
      </c>
      <c r="J68" s="5" t="str">
        <f t="shared" si="2"/>
        <v>🟢 +-12.7%</v>
      </c>
      <c r="K68" s="6" t="str">
        <f t="shared" si="3"/>
        <v>🔴 3.0%</v>
      </c>
    </row>
    <row r="69" ht="15.75" customHeight="1">
      <c r="A69" s="2">
        <v>68.0</v>
      </c>
      <c r="B69" s="2" t="s">
        <v>187</v>
      </c>
      <c r="C69" s="2" t="s">
        <v>188</v>
      </c>
      <c r="D69" s="2" t="s">
        <v>135</v>
      </c>
      <c r="E69" s="4">
        <f>IFERROR(__xludf.DUMMYFUNCTION("IFERROR(INDEX(GOOGLEFINANCE(""NSE:""&amp;C69,""open"",DATE(2026,1,1)),2,2),""N/A"")"),363.0)</f>
        <v>363</v>
      </c>
      <c r="F69" s="4">
        <f>IFERROR(__xludf.DUMMYFUNCTION("IFERROR(INDEX(GOOGLEFINANCE(""NSE:""&amp;C69,""open"",DATE(2026,4,1)),2,2),""N/A"")"),294.2)</f>
        <v>294.2</v>
      </c>
      <c r="G69" s="4">
        <f>IFERROR(__xludf.DUMMYFUNCTION("IFERROR(INDEX(GOOGLEFINANCE(""NSE:""&amp;C69,""open"",DATE(2026,5,2)),2,2),""N/A"")"),365.0)</f>
        <v>365</v>
      </c>
      <c r="H69" s="5">
        <f>IFERROR(__xludf.DUMMYFUNCTION("GOOGLEFINANCE(""NSE:""&amp;C69,""price"")"),361.5)</f>
        <v>361.5</v>
      </c>
      <c r="I69" s="5" t="str">
        <f t="shared" si="1"/>
        <v>🔴 -0.4%</v>
      </c>
      <c r="J69" s="5" t="str">
        <f t="shared" si="2"/>
        <v>🟢 +-18.6%</v>
      </c>
      <c r="K69" s="6" t="str">
        <f t="shared" si="3"/>
        <v>🔴 1.0%</v>
      </c>
    </row>
    <row r="70" ht="15.75" customHeight="1">
      <c r="A70" s="2">
        <v>69.0</v>
      </c>
      <c r="B70" s="2" t="s">
        <v>189</v>
      </c>
      <c r="C70" s="2" t="s">
        <v>190</v>
      </c>
      <c r="D70" s="2" t="s">
        <v>50</v>
      </c>
      <c r="E70" s="4">
        <f>IFERROR(__xludf.DUMMYFUNCTION("IFERROR(INDEX(GOOGLEFINANCE(""NSE:""&amp;C70,""open"",DATE(2026,1,1)),2,2),""N/A"")"),267.65)</f>
        <v>267.65</v>
      </c>
      <c r="F70" s="4">
        <f>IFERROR(__xludf.DUMMYFUNCTION("IFERROR(INDEX(GOOGLEFINANCE(""NSE:""&amp;C70,""open"",DATE(2026,4,1)),2,2),""N/A"")"),266.45)</f>
        <v>266.45</v>
      </c>
      <c r="G70" s="4">
        <f>IFERROR(__xludf.DUMMYFUNCTION("IFERROR(INDEX(GOOGLEFINANCE(""NSE:""&amp;C70,""open"",DATE(2026,5,2)),2,2),""N/A"")"),290.0)</f>
        <v>290</v>
      </c>
      <c r="H70" s="5">
        <f>IFERROR(__xludf.DUMMYFUNCTION("GOOGLEFINANCE(""NSE:""&amp;C70,""price"")"),291.5)</f>
        <v>291.5</v>
      </c>
      <c r="I70" s="5" t="str">
        <f t="shared" si="1"/>
        <v>🟢 +8.9%</v>
      </c>
      <c r="J70" s="5" t="str">
        <f t="shared" si="2"/>
        <v>🟢 +-8.6%</v>
      </c>
      <c r="K70" s="6" t="str">
        <f t="shared" si="3"/>
        <v>🟢 +-0.5%</v>
      </c>
    </row>
    <row r="71" ht="15.75" customHeight="1">
      <c r="A71" s="2">
        <v>70.0</v>
      </c>
      <c r="B71" s="2" t="s">
        <v>191</v>
      </c>
      <c r="C71" s="2" t="s">
        <v>192</v>
      </c>
      <c r="D71" s="2" t="s">
        <v>50</v>
      </c>
      <c r="E71" s="4">
        <f>IFERROR(__xludf.DUMMYFUNCTION("IFERROR(INDEX(GOOGLEFINANCE(""NSE:""&amp;C71,""open"",DATE(2026,1,1)),2,2),""N/A"")"),912.45)</f>
        <v>912.45</v>
      </c>
      <c r="F71" s="4">
        <f>IFERROR(__xludf.DUMMYFUNCTION("IFERROR(INDEX(GOOGLEFINANCE(""NSE:""&amp;C71,""open"",DATE(2026,4,1)),2,2),""N/A"")"),765.35)</f>
        <v>765.35</v>
      </c>
      <c r="G71" s="4">
        <f>IFERROR(__xludf.DUMMYFUNCTION("IFERROR(INDEX(GOOGLEFINANCE(""NSE:""&amp;C71,""open"",DATE(2026,5,2)),2,2),""N/A"")"),906.95)</f>
        <v>906.95</v>
      </c>
      <c r="H71" s="5">
        <f>IFERROR(__xludf.DUMMYFUNCTION("GOOGLEFINANCE(""NSE:""&amp;C71,""price"")"),903.8)</f>
        <v>903.8</v>
      </c>
      <c r="I71" s="5" t="str">
        <f t="shared" si="1"/>
        <v>🔴 -0.9%</v>
      </c>
      <c r="J71" s="5" t="str">
        <f t="shared" si="2"/>
        <v>🟢 +-15.3%</v>
      </c>
      <c r="K71" s="6" t="str">
        <f t="shared" si="3"/>
        <v>🔴 0.3%</v>
      </c>
    </row>
    <row r="72" ht="15.75" customHeight="1">
      <c r="A72" s="2">
        <v>71.0</v>
      </c>
      <c r="B72" s="2" t="s">
        <v>193</v>
      </c>
      <c r="C72" s="2" t="s">
        <v>194</v>
      </c>
      <c r="D72" s="2" t="s">
        <v>195</v>
      </c>
      <c r="E72" s="4">
        <f>IFERROR(__xludf.DUMMYFUNCTION("IFERROR(INDEX(GOOGLEFINANCE(""NSE:""&amp;C72,""open"",DATE(2026,1,1)),2,2),""N/A"")"),265.0)</f>
        <v>265</v>
      </c>
      <c r="F72" s="4">
        <f>IFERROR(__xludf.DUMMYFUNCTION("IFERROR(INDEX(GOOGLEFINANCE(""NSE:""&amp;C72,""open"",DATE(2026,4,1)),2,2),""N/A"")"),241.0)</f>
        <v>241</v>
      </c>
      <c r="G72" s="4">
        <f>IFERROR(__xludf.DUMMYFUNCTION("IFERROR(INDEX(GOOGLEFINANCE(""NSE:""&amp;C72,""open"",DATE(2026,5,2)),2,2),""N/A"")"),267.8)</f>
        <v>267.8</v>
      </c>
      <c r="H72" s="5">
        <f>IFERROR(__xludf.DUMMYFUNCTION("GOOGLEFINANCE(""NSE:""&amp;C72,""price"")"),271.5)</f>
        <v>271.5</v>
      </c>
      <c r="I72" s="5" t="str">
        <f t="shared" si="1"/>
        <v>🟢 +2.5%</v>
      </c>
      <c r="J72" s="5" t="str">
        <f t="shared" si="2"/>
        <v>🟢 +-11.2%</v>
      </c>
      <c r="K72" s="6" t="str">
        <f t="shared" si="3"/>
        <v>🟢 +-1.4%</v>
      </c>
    </row>
    <row r="73" ht="15.75" customHeight="1">
      <c r="A73" s="2">
        <v>72.0</v>
      </c>
      <c r="B73" s="2" t="s">
        <v>196</v>
      </c>
      <c r="C73" s="2" t="s">
        <v>197</v>
      </c>
      <c r="D73" s="2" t="s">
        <v>99</v>
      </c>
      <c r="E73" s="4">
        <f>IFERROR(__xludf.DUMMYFUNCTION("IFERROR(INDEX(GOOGLEFINANCE(""NSE:""&amp;C73,""open"",DATE(2026,1,1)),2,2),""N/A"")"),172.0)</f>
        <v>172</v>
      </c>
      <c r="F73" s="4">
        <f>IFERROR(__xludf.DUMMYFUNCTION("IFERROR(INDEX(GOOGLEFINANCE(""NSE:""&amp;C73,""open"",DATE(2026,4,1)),2,2),""N/A"")"),141.4)</f>
        <v>141.4</v>
      </c>
      <c r="G73" s="4">
        <f>IFERROR(__xludf.DUMMYFUNCTION("IFERROR(INDEX(GOOGLEFINANCE(""NSE:""&amp;C73,""open"",DATE(2026,5,2)),2,2),""N/A"")"),165.3)</f>
        <v>165.3</v>
      </c>
      <c r="H73" s="5">
        <f>IFERROR(__xludf.DUMMYFUNCTION("GOOGLEFINANCE(""NSE:""&amp;C73,""price"")"),163.99)</f>
        <v>163.99</v>
      </c>
      <c r="I73" s="5" t="str">
        <f t="shared" si="1"/>
        <v>🔴 -4.7%</v>
      </c>
      <c r="J73" s="5" t="str">
        <f t="shared" si="2"/>
        <v>🟢 +-13.8%</v>
      </c>
      <c r="K73" s="6" t="str">
        <f t="shared" si="3"/>
        <v>🔴 0.8%</v>
      </c>
    </row>
    <row r="74" ht="15.75" customHeight="1">
      <c r="A74" s="2">
        <v>73.0</v>
      </c>
      <c r="B74" s="2" t="s">
        <v>198</v>
      </c>
      <c r="C74" s="2" t="s">
        <v>199</v>
      </c>
      <c r="D74" s="2" t="s">
        <v>135</v>
      </c>
      <c r="E74" s="4">
        <f>IFERROR(__xludf.DUMMYFUNCTION("IFERROR(INDEX(GOOGLEFINANCE(""NSE:""&amp;C74,""open"",DATE(2026,1,1)),2,2),""N/A"")"),2034.0)</f>
        <v>2034</v>
      </c>
      <c r="F74" s="4">
        <f>IFERROR(__xludf.DUMMYFUNCTION("IFERROR(INDEX(GOOGLEFINANCE(""NSE:""&amp;C74,""open"",DATE(2026,4,1)),2,2),""N/A"")"),2180.0)</f>
        <v>2180</v>
      </c>
      <c r="G74" s="4">
        <f>IFERROR(__xludf.DUMMYFUNCTION("IFERROR(INDEX(GOOGLEFINANCE(""NSE:""&amp;C74,""open"",DATE(2026,5,2)),2,2),""N/A"")"),2434.3)</f>
        <v>2434.3</v>
      </c>
      <c r="H74" s="5">
        <f>IFERROR(__xludf.DUMMYFUNCTION("GOOGLEFINANCE(""NSE:""&amp;C74,""price"")"),2426.1)</f>
        <v>2426.1</v>
      </c>
      <c r="I74" s="5" t="str">
        <f t="shared" si="1"/>
        <v>🟢 +19.3%</v>
      </c>
      <c r="J74" s="5" t="str">
        <f t="shared" si="2"/>
        <v>🟢 +-10.1%</v>
      </c>
      <c r="K74" s="6" t="str">
        <f t="shared" si="3"/>
        <v>🔴 0.3%</v>
      </c>
    </row>
    <row r="75" ht="15.75" customHeight="1">
      <c r="A75" s="2">
        <v>74.0</v>
      </c>
      <c r="B75" s="2" t="s">
        <v>200</v>
      </c>
      <c r="C75" s="2" t="s">
        <v>201</v>
      </c>
      <c r="D75" s="2" t="s">
        <v>202</v>
      </c>
      <c r="E75" s="4" t="str">
        <f>IFERROR(__xludf.DUMMYFUNCTION("IFERROR(INDEX(GOOGLEFINANCE(""NSE:""&amp;C75,""open"",DATE(2026,1,1)),2,2),""N/A"")"),"N/A")</f>
        <v>N/A</v>
      </c>
      <c r="F75" s="4" t="str">
        <f>IFERROR(__xludf.DUMMYFUNCTION("IFERROR(INDEX(GOOGLEFINANCE(""NSE:""&amp;C75,""open"",DATE(2026,4,1)),2,2),""N/A"")"),"N/A")</f>
        <v>N/A</v>
      </c>
      <c r="G75" s="4" t="str">
        <f>IFERROR(__xludf.DUMMYFUNCTION("IFERROR(INDEX(GOOGLEFINANCE(""NSE:""&amp;C75,""open"",DATE(2026,5,2)),2,2),""N/A"")"),"N/A")</f>
        <v>N/A</v>
      </c>
      <c r="H75" s="5" t="str">
        <f>IFERROR(__xludf.DUMMYFUNCTION("GOOGLEFINANCE(""NSE:""&amp;C75,""price"")"),"#N/A")</f>
        <v>#N/A</v>
      </c>
      <c r="I75" s="5" t="str">
        <f t="shared" si="1"/>
        <v>#N/A</v>
      </c>
      <c r="J75" s="5" t="str">
        <f t="shared" si="2"/>
        <v>#N/A</v>
      </c>
      <c r="K75" s="6" t="str">
        <f t="shared" si="3"/>
        <v>#N/A</v>
      </c>
    </row>
    <row r="76" ht="15.75" customHeight="1">
      <c r="A76" s="2">
        <v>75.0</v>
      </c>
      <c r="B76" s="2" t="s">
        <v>203</v>
      </c>
      <c r="C76" s="2" t="s">
        <v>204</v>
      </c>
      <c r="D76" s="2" t="s">
        <v>99</v>
      </c>
      <c r="E76" s="4">
        <f>IFERROR(__xludf.DUMMYFUNCTION("IFERROR(INDEX(GOOGLEFINANCE(""NSE:""&amp;C76,""open"",DATE(2026,1,1)),2,2),""N/A"")"),1225.0)</f>
        <v>1225</v>
      </c>
      <c r="F76" s="4">
        <f>IFERROR(__xludf.DUMMYFUNCTION("IFERROR(INDEX(GOOGLEFINANCE(""NSE:""&amp;C76,""open"",DATE(2026,4,1)),2,2),""N/A"")"),1010.0)</f>
        <v>1010</v>
      </c>
      <c r="G76" s="4">
        <f>IFERROR(__xludf.DUMMYFUNCTION("IFERROR(INDEX(GOOGLEFINANCE(""NSE:""&amp;C76,""open"",DATE(2026,5,2)),2,2),""N/A"")"),1070.2)</f>
        <v>1070.2</v>
      </c>
      <c r="H76" s="5">
        <f>IFERROR(__xludf.DUMMYFUNCTION("GOOGLEFINANCE(""NSE:""&amp;C76,""price"")"),1100.0)</f>
        <v>1100</v>
      </c>
      <c r="I76" s="5" t="str">
        <f t="shared" si="1"/>
        <v>🔴 -10.2%</v>
      </c>
      <c r="J76" s="5" t="str">
        <f t="shared" si="2"/>
        <v>🟢 +-8.2%</v>
      </c>
      <c r="K76" s="6" t="str">
        <f t="shared" si="3"/>
        <v>🟢 +-2.7%</v>
      </c>
    </row>
    <row r="77" ht="15.75" customHeight="1">
      <c r="A77" s="2">
        <v>76.0</v>
      </c>
      <c r="B77" s="2" t="s">
        <v>205</v>
      </c>
      <c r="C77" s="2" t="s">
        <v>206</v>
      </c>
      <c r="D77" s="2" t="s">
        <v>207</v>
      </c>
      <c r="E77" s="4">
        <f>IFERROR(__xludf.DUMMYFUNCTION("IFERROR(INDEX(GOOGLEFINANCE(""NSE:""&amp;C77,""open"",DATE(2026,1,1)),2,2),""N/A"")"),2010.0)</f>
        <v>2010</v>
      </c>
      <c r="F77" s="4">
        <f>IFERROR(__xludf.DUMMYFUNCTION("IFERROR(INDEX(GOOGLEFINANCE(""NSE:""&amp;C77,""open"",DATE(2026,4,1)),2,2),""N/A"")"),1516.8)</f>
        <v>1516.8</v>
      </c>
      <c r="G77" s="4">
        <f>IFERROR(__xludf.DUMMYFUNCTION("IFERROR(INDEX(GOOGLEFINANCE(""NSE:""&amp;C77,""open"",DATE(2026,5,2)),2,2),""N/A"")"),1854.9)</f>
        <v>1854.9</v>
      </c>
      <c r="H77" s="5">
        <f>IFERROR(__xludf.DUMMYFUNCTION("GOOGLEFINANCE(""NSE:""&amp;C77,""price"")"),1811.0)</f>
        <v>1811</v>
      </c>
      <c r="I77" s="5" t="str">
        <f t="shared" si="1"/>
        <v>🔴 -9.9%</v>
      </c>
      <c r="J77" s="5" t="str">
        <f t="shared" si="2"/>
        <v>🟢 +-16.2%</v>
      </c>
      <c r="K77" s="6" t="str">
        <f t="shared" si="3"/>
        <v>🔴 2.4%</v>
      </c>
    </row>
    <row r="78" ht="15.75" customHeight="1">
      <c r="A78" s="2">
        <v>77.0</v>
      </c>
      <c r="B78" s="2" t="s">
        <v>208</v>
      </c>
      <c r="C78" s="2" t="s">
        <v>209</v>
      </c>
      <c r="D78" s="2" t="s">
        <v>19</v>
      </c>
      <c r="E78" s="4">
        <f>IFERROR(__xludf.DUMMYFUNCTION("IFERROR(INDEX(GOOGLEFINANCE(""NSE:""&amp;C78,""open"",DATE(2026,1,1)),2,2),""N/A"")"),600.4)</f>
        <v>600.4</v>
      </c>
      <c r="F78" s="4">
        <f>IFERROR(__xludf.DUMMYFUNCTION("IFERROR(INDEX(GOOGLEFINANCE(""NSE:""&amp;C78,""open"",DATE(2026,4,1)),2,2),""N/A"")"),629.0)</f>
        <v>629</v>
      </c>
      <c r="G78" s="4">
        <f>IFERROR(__xludf.DUMMYFUNCTION("IFERROR(INDEX(GOOGLEFINANCE(""NSE:""&amp;C78,""open"",DATE(2026,5,2)),2,2),""N/A"")"),699.7)</f>
        <v>699.7</v>
      </c>
      <c r="H78" s="5">
        <f>IFERROR(__xludf.DUMMYFUNCTION("GOOGLEFINANCE(""NSE:""&amp;C78,""price"")"),714.35)</f>
        <v>714.35</v>
      </c>
      <c r="I78" s="5" t="str">
        <f t="shared" si="1"/>
        <v>🟢 +19.0%</v>
      </c>
      <c r="J78" s="5" t="str">
        <f t="shared" si="2"/>
        <v>🟢 +-11.9%</v>
      </c>
      <c r="K78" s="6" t="str">
        <f t="shared" si="3"/>
        <v>🟢 +-2.1%</v>
      </c>
    </row>
    <row r="79" ht="15.75" customHeight="1">
      <c r="A79" s="2">
        <v>78.0</v>
      </c>
      <c r="B79" s="2" t="s">
        <v>210</v>
      </c>
      <c r="C79" s="2" t="s">
        <v>211</v>
      </c>
      <c r="D79" s="2" t="s">
        <v>16</v>
      </c>
      <c r="E79" s="4">
        <f>IFERROR(__xludf.DUMMYFUNCTION("IFERROR(INDEX(GOOGLEFINANCE(""NSE:""&amp;C79,""open"",DATE(2026,1,1)),2,2),""N/A"")"),2833.0)</f>
        <v>2833</v>
      </c>
      <c r="F79" s="4">
        <f>IFERROR(__xludf.DUMMYFUNCTION("IFERROR(INDEX(GOOGLEFINANCE(""NSE:""&amp;C79,""open"",DATE(2026,4,1)),2,2),""N/A"")"),2602.0)</f>
        <v>2602</v>
      </c>
      <c r="G79" s="4">
        <f>IFERROR(__xludf.DUMMYFUNCTION("IFERROR(INDEX(GOOGLEFINANCE(""NSE:""&amp;C79,""open"",DATE(2026,5,2)),2,2),""N/A"")"),2805.0)</f>
        <v>2805</v>
      </c>
      <c r="H79" s="5">
        <f>IFERROR(__xludf.DUMMYFUNCTION("GOOGLEFINANCE(""NSE:""&amp;C79,""price"")"),2863.7)</f>
        <v>2863.7</v>
      </c>
      <c r="I79" s="5" t="str">
        <f t="shared" si="1"/>
        <v>🟢 +1.1%</v>
      </c>
      <c r="J79" s="5" t="str">
        <f t="shared" si="2"/>
        <v>🟢 +-9.1%</v>
      </c>
      <c r="K79" s="6" t="str">
        <f t="shared" si="3"/>
        <v>🟢 +-2.0%</v>
      </c>
    </row>
    <row r="80" ht="15.75" customHeight="1">
      <c r="A80" s="2">
        <v>79.0</v>
      </c>
      <c r="B80" s="2" t="s">
        <v>212</v>
      </c>
      <c r="C80" s="2" t="s">
        <v>212</v>
      </c>
      <c r="D80" s="2" t="s">
        <v>84</v>
      </c>
      <c r="E80" s="4">
        <f>IFERROR(__xludf.DUMMYFUNCTION("IFERROR(INDEX(GOOGLEFINANCE(""NSE:""&amp;C80,""open"",DATE(2026,1,1)),2,2),""N/A"")"),4388.7)</f>
        <v>4388.7</v>
      </c>
      <c r="F80" s="4">
        <f>IFERROR(__xludf.DUMMYFUNCTION("IFERROR(INDEX(GOOGLEFINANCE(""NSE:""&amp;C80,""open"",DATE(2026,4,1)),2,2),""N/A"")"),3581.4)</f>
        <v>3581.4</v>
      </c>
      <c r="G80" s="4">
        <f>IFERROR(__xludf.DUMMYFUNCTION("IFERROR(INDEX(GOOGLEFINANCE(""NSE:""&amp;C80,""open"",DATE(2026,5,2)),2,2),""N/A"")"),4356.0)</f>
        <v>4356</v>
      </c>
      <c r="H80" s="5">
        <f>IFERROR(__xludf.DUMMYFUNCTION("GOOGLEFINANCE(""NSE:""&amp;C80,""price"")"),4619.0)</f>
        <v>4619</v>
      </c>
      <c r="I80" s="5" t="str">
        <f t="shared" si="1"/>
        <v>🟢 +5.2%</v>
      </c>
      <c r="J80" s="5" t="str">
        <f t="shared" si="2"/>
        <v>🟢 +-22.5%</v>
      </c>
      <c r="K80" s="6" t="str">
        <f t="shared" si="3"/>
        <v>🟢 +-5.7%</v>
      </c>
    </row>
    <row r="81" ht="15.75" customHeight="1">
      <c r="A81" s="2">
        <v>80.0</v>
      </c>
      <c r="B81" s="2" t="s">
        <v>213</v>
      </c>
      <c r="C81" s="2" t="s">
        <v>214</v>
      </c>
      <c r="D81" s="2" t="s">
        <v>215</v>
      </c>
      <c r="E81" s="4">
        <f>IFERROR(__xludf.DUMMYFUNCTION("IFERROR(INDEX(GOOGLEFINANCE(""NSE:""&amp;C81,""open"",DATE(2026,1,1)),2,2),""N/A"")"),1622.9)</f>
        <v>1622.9</v>
      </c>
      <c r="F81" s="4">
        <f>IFERROR(__xludf.DUMMYFUNCTION("IFERROR(INDEX(GOOGLEFINANCE(""NSE:""&amp;C81,""open"",DATE(2026,4,1)),2,2),""N/A"")"),1399.7)</f>
        <v>1399.7</v>
      </c>
      <c r="G81" s="4">
        <f>IFERROR(__xludf.DUMMYFUNCTION("IFERROR(INDEX(GOOGLEFINANCE(""NSE:""&amp;C81,""open"",DATE(2026,5,2)),2,2),""N/A"")"),1208.0)</f>
        <v>1208</v>
      </c>
      <c r="H81" s="5">
        <f>IFERROR(__xludf.DUMMYFUNCTION("GOOGLEFINANCE(""NSE:""&amp;C81,""price"")"),1200.3)</f>
        <v>1200.3</v>
      </c>
      <c r="I81" s="5" t="str">
        <f t="shared" si="1"/>
        <v>🔴 -26.0%</v>
      </c>
      <c r="J81" s="5" t="str">
        <f t="shared" si="2"/>
        <v>🔴 16.6%</v>
      </c>
      <c r="K81" s="6" t="str">
        <f t="shared" si="3"/>
        <v>🔴 0.6%</v>
      </c>
    </row>
    <row r="82" ht="15.75" customHeight="1">
      <c r="A82" s="2">
        <v>81.0</v>
      </c>
      <c r="B82" s="2" t="s">
        <v>216</v>
      </c>
      <c r="C82" s="2" t="s">
        <v>217</v>
      </c>
      <c r="D82" s="2" t="s">
        <v>218</v>
      </c>
      <c r="E82" s="4">
        <f>IFERROR(__xludf.DUMMYFUNCTION("IFERROR(INDEX(GOOGLEFINANCE(""NSE:""&amp;C82,""open"",DATE(2026,1,1)),2,2),""N/A"")"),2674.8)</f>
        <v>2674.8</v>
      </c>
      <c r="F82" s="4">
        <f>IFERROR(__xludf.DUMMYFUNCTION("IFERROR(INDEX(GOOGLEFINANCE(""NSE:""&amp;C82,""open"",DATE(2026,4,1)),2,2),""N/A"")"),2285.0)</f>
        <v>2285</v>
      </c>
      <c r="G82" s="4">
        <f>IFERROR(__xludf.DUMMYFUNCTION("IFERROR(INDEX(GOOGLEFINANCE(""NSE:""&amp;C82,""open"",DATE(2026,5,2)),2,2),""N/A"")"),2725.0)</f>
        <v>2725</v>
      </c>
      <c r="H82" s="5">
        <f>IFERROR(__xludf.DUMMYFUNCTION("GOOGLEFINANCE(""NSE:""&amp;C82,""price"")"),2812.0)</f>
        <v>2812</v>
      </c>
      <c r="I82" s="5" t="str">
        <f t="shared" si="1"/>
        <v>🟢 +5.1%</v>
      </c>
      <c r="J82" s="5" t="str">
        <f t="shared" si="2"/>
        <v>🟢 +-18.7%</v>
      </c>
      <c r="K82" s="6" t="str">
        <f t="shared" si="3"/>
        <v>🟢 +-3.1%</v>
      </c>
    </row>
    <row r="83" ht="15.75" customHeight="1">
      <c r="A83" s="2">
        <v>82.0</v>
      </c>
      <c r="B83" s="2" t="s">
        <v>219</v>
      </c>
      <c r="C83" s="2" t="s">
        <v>220</v>
      </c>
      <c r="D83" s="2" t="s">
        <v>221</v>
      </c>
      <c r="E83" s="4">
        <f>IFERROR(__xludf.DUMMYFUNCTION("IFERROR(INDEX(GOOGLEFINANCE(""NSE:""&amp;C83,""open"",DATE(2026,1,1)),2,2),""N/A"")"),993.5)</f>
        <v>993.5</v>
      </c>
      <c r="F83" s="4">
        <f>IFERROR(__xludf.DUMMYFUNCTION("IFERROR(INDEX(GOOGLEFINANCE(""NSE:""&amp;C83,""open"",DATE(2026,4,1)),2,2),""N/A"")"),743.0)</f>
        <v>743</v>
      </c>
      <c r="G83" s="4">
        <f>IFERROR(__xludf.DUMMYFUNCTION("IFERROR(INDEX(GOOGLEFINANCE(""NSE:""&amp;C83,""open"",DATE(2026,5,2)),2,2),""N/A"")"),772.6)</f>
        <v>772.6</v>
      </c>
      <c r="H83" s="5">
        <f>IFERROR(__xludf.DUMMYFUNCTION("GOOGLEFINANCE(""NSE:""&amp;C83,""price"")"),773.2)</f>
        <v>773.2</v>
      </c>
      <c r="I83" s="5" t="str">
        <f t="shared" si="1"/>
        <v>🔴 -22.2%</v>
      </c>
      <c r="J83" s="5" t="str">
        <f t="shared" si="2"/>
        <v>🟢 +-3.9%</v>
      </c>
      <c r="K83" s="6" t="str">
        <f t="shared" si="3"/>
        <v>🟢 +-0.1%</v>
      </c>
    </row>
    <row r="84" ht="15.75" customHeight="1">
      <c r="A84" s="2">
        <v>83.0</v>
      </c>
      <c r="B84" s="2" t="s">
        <v>222</v>
      </c>
      <c r="C84" s="2" t="s">
        <v>223</v>
      </c>
      <c r="D84" s="2" t="s">
        <v>224</v>
      </c>
      <c r="E84" s="4">
        <f>IFERROR(__xludf.DUMMYFUNCTION("IFERROR(INDEX(GOOGLEFINANCE(""NSE:""&amp;C84,""open"",DATE(2026,1,1)),2,2),""N/A"")"),750.0)</f>
        <v>750</v>
      </c>
      <c r="F84" s="4">
        <f>IFERROR(__xludf.DUMMYFUNCTION("IFERROR(INDEX(GOOGLEFINANCE(""NSE:""&amp;C84,""open"",DATE(2026,4,1)),2,2),""N/A"")"),600.0)</f>
        <v>600</v>
      </c>
      <c r="G84" s="4">
        <f>IFERROR(__xludf.DUMMYFUNCTION("IFERROR(INDEX(GOOGLEFINANCE(""NSE:""&amp;C84,""open"",DATE(2026,5,2)),2,2),""N/A"")"),591.95)</f>
        <v>591.95</v>
      </c>
      <c r="H84" s="5">
        <f>IFERROR(__xludf.DUMMYFUNCTION("GOOGLEFINANCE(""NSE:""&amp;C84,""price"")"),595.0)</f>
        <v>595</v>
      </c>
      <c r="I84" s="5" t="str">
        <f t="shared" si="1"/>
        <v>🔴 -20.7%</v>
      </c>
      <c r="J84" s="5" t="str">
        <f t="shared" si="2"/>
        <v>🔴 0.8%</v>
      </c>
      <c r="K84" s="6" t="str">
        <f t="shared" si="3"/>
        <v>🟢 +-0.5%</v>
      </c>
    </row>
    <row r="85" ht="15.75" customHeight="1">
      <c r="A85" s="2">
        <v>84.0</v>
      </c>
      <c r="B85" s="2" t="s">
        <v>225</v>
      </c>
      <c r="C85" s="2" t="s">
        <v>226</v>
      </c>
      <c r="D85" s="2" t="s">
        <v>99</v>
      </c>
      <c r="E85" s="4">
        <f>IFERROR(__xludf.DUMMYFUNCTION("IFERROR(INDEX(GOOGLEFINANCE(""NSE:""&amp;C85,""open"",DATE(2026,1,1)),2,2),""N/A"")"),5771.0)</f>
        <v>5771</v>
      </c>
      <c r="F85" s="4">
        <f>IFERROR(__xludf.DUMMYFUNCTION("IFERROR(INDEX(GOOGLEFINANCE(""NSE:""&amp;C85,""open"",DATE(2026,4,1)),2,2),""N/A"")"),5152.0)</f>
        <v>5152</v>
      </c>
      <c r="G85" s="4">
        <f>IFERROR(__xludf.DUMMYFUNCTION("IFERROR(INDEX(GOOGLEFINANCE(""NSE:""&amp;C85,""open"",DATE(2026,5,2)),2,2),""N/A"")"),5186.0)</f>
        <v>5186</v>
      </c>
      <c r="H85" s="5">
        <f>IFERROR(__xludf.DUMMYFUNCTION("GOOGLEFINANCE(""NSE:""&amp;C85,""price"")"),5127.0)</f>
        <v>5127</v>
      </c>
      <c r="I85" s="5" t="str">
        <f t="shared" si="1"/>
        <v>🔴 -11.2%</v>
      </c>
      <c r="J85" s="5" t="str">
        <f t="shared" si="2"/>
        <v>🔴 0.5%</v>
      </c>
      <c r="K85" s="6" t="str">
        <f t="shared" si="3"/>
        <v>🔴 1.2%</v>
      </c>
    </row>
    <row r="86" ht="15.75" customHeight="1">
      <c r="A86" s="2">
        <v>85.0</v>
      </c>
      <c r="B86" s="2" t="s">
        <v>227</v>
      </c>
      <c r="C86" s="2" t="s">
        <v>228</v>
      </c>
      <c r="D86" s="2" t="s">
        <v>16</v>
      </c>
      <c r="E86" s="4">
        <f>IFERROR(__xludf.DUMMYFUNCTION("IFERROR(INDEX(GOOGLEFINANCE(""NSE:""&amp;C86,""open"",DATE(2026,1,1)),2,2),""N/A"")"),888.1)</f>
        <v>888.1</v>
      </c>
      <c r="F86" s="4">
        <f>IFERROR(__xludf.DUMMYFUNCTION("IFERROR(INDEX(GOOGLEFINANCE(""NSE:""&amp;C86,""open"",DATE(2026,4,1)),2,2),""N/A"")"),909.0)</f>
        <v>909</v>
      </c>
      <c r="G86" s="4">
        <f>IFERROR(__xludf.DUMMYFUNCTION("IFERROR(INDEX(GOOGLEFINANCE(""NSE:""&amp;C86,""open"",DATE(2026,5,2)),2,2),""N/A"")"),1043.3)</f>
        <v>1043.3</v>
      </c>
      <c r="H86" s="5">
        <f>IFERROR(__xludf.DUMMYFUNCTION("GOOGLEFINANCE(""NSE:""&amp;C86,""price"")"),1057.0)</f>
        <v>1057</v>
      </c>
      <c r="I86" s="5" t="str">
        <f t="shared" si="1"/>
        <v>🟢 +19.0%</v>
      </c>
      <c r="J86" s="5" t="str">
        <f t="shared" si="2"/>
        <v>🟢 +-14.0%</v>
      </c>
      <c r="K86" s="6" t="str">
        <f t="shared" si="3"/>
        <v>🟢 +-1.3%</v>
      </c>
    </row>
    <row r="87" ht="15.75" customHeight="1">
      <c r="A87" s="2">
        <v>86.0</v>
      </c>
      <c r="B87" s="2" t="s">
        <v>229</v>
      </c>
      <c r="C87" s="2" t="s">
        <v>230</v>
      </c>
      <c r="D87" s="2" t="s">
        <v>143</v>
      </c>
      <c r="E87" s="4">
        <f>IFERROR(__xludf.DUMMYFUNCTION("IFERROR(INDEX(GOOGLEFINANCE(""NSE:""&amp;C87,""open"",DATE(2026,1,1)),2,2),""N/A"")"),521.5)</f>
        <v>521.5</v>
      </c>
      <c r="F87" s="4">
        <f>IFERROR(__xludf.DUMMYFUNCTION("IFERROR(INDEX(GOOGLEFINANCE(""NSE:""&amp;C87,""open"",DATE(2026,4,1)),2,2),""N/A"")"),473.7)</f>
        <v>473.7</v>
      </c>
      <c r="G87" s="4">
        <f>IFERROR(__xludf.DUMMYFUNCTION("IFERROR(INDEX(GOOGLEFINANCE(""NSE:""&amp;C87,""open"",DATE(2026,5,2)),2,2),""N/A"")"),540.0)</f>
        <v>540</v>
      </c>
      <c r="H87" s="5">
        <f>IFERROR(__xludf.DUMMYFUNCTION("GOOGLEFINANCE(""NSE:""&amp;C87,""price"")"),532.5)</f>
        <v>532.5</v>
      </c>
      <c r="I87" s="5" t="str">
        <f t="shared" si="1"/>
        <v>🟢 +2.1%</v>
      </c>
      <c r="J87" s="5" t="str">
        <f t="shared" si="2"/>
        <v>🟢 +-11.0%</v>
      </c>
      <c r="K87" s="6" t="str">
        <f t="shared" si="3"/>
        <v>🔴 1.4%</v>
      </c>
    </row>
    <row r="88" ht="15.75" customHeight="1">
      <c r="A88" s="2">
        <v>87.0</v>
      </c>
      <c r="B88" s="2" t="s">
        <v>231</v>
      </c>
      <c r="C88" s="2" t="s">
        <v>232</v>
      </c>
      <c r="D88" s="2" t="s">
        <v>50</v>
      </c>
      <c r="E88" s="4">
        <f>IFERROR(__xludf.DUMMYFUNCTION("IFERROR(INDEX(GOOGLEFINANCE(""NSE:""&amp;C88,""open"",DATE(2026,1,1)),2,2),""N/A"")"),499.75)</f>
        <v>499.75</v>
      </c>
      <c r="F88" s="4">
        <f>IFERROR(__xludf.DUMMYFUNCTION("IFERROR(INDEX(GOOGLEFINANCE(""NSE:""&amp;C88,""open"",DATE(2026,4,1)),2,2),""N/A"")"),350.0)</f>
        <v>350</v>
      </c>
      <c r="G88" s="4">
        <f>IFERROR(__xludf.DUMMYFUNCTION("IFERROR(INDEX(GOOGLEFINANCE(""NSE:""&amp;C88,""open"",DATE(2026,5,2)),2,2),""N/A"")"),379.0)</f>
        <v>379</v>
      </c>
      <c r="H88" s="5">
        <f>IFERROR(__xludf.DUMMYFUNCTION("GOOGLEFINANCE(""NSE:""&amp;C88,""price"")"),374.8)</f>
        <v>374.8</v>
      </c>
      <c r="I88" s="5" t="str">
        <f t="shared" si="1"/>
        <v>🔴 -25.0%</v>
      </c>
      <c r="J88" s="5" t="str">
        <f t="shared" si="2"/>
        <v>🟢 +-6.6%</v>
      </c>
      <c r="K88" s="6" t="str">
        <f t="shared" si="3"/>
        <v>🔴 1.1%</v>
      </c>
    </row>
    <row r="89" ht="15.75" customHeight="1">
      <c r="A89" s="2">
        <v>88.0</v>
      </c>
      <c r="B89" s="2" t="s">
        <v>233</v>
      </c>
      <c r="C89" s="2" t="s">
        <v>234</v>
      </c>
      <c r="D89" s="2" t="s">
        <v>56</v>
      </c>
      <c r="E89" s="4">
        <f>IFERROR(__xludf.DUMMYFUNCTION("IFERROR(INDEX(GOOGLEFINANCE(""NSE:""&amp;C89,""open"",DATE(2026,1,1)),2,2),""N/A"")"),2322.0)</f>
        <v>2322</v>
      </c>
      <c r="F89" s="4">
        <f>IFERROR(__xludf.DUMMYFUNCTION("IFERROR(INDEX(GOOGLEFINANCE(""NSE:""&amp;C89,""open"",DATE(2026,4,1)),2,2),""N/A"")"),2119.9)</f>
        <v>2119.9</v>
      </c>
      <c r="G89" s="4">
        <f>IFERROR(__xludf.DUMMYFUNCTION("IFERROR(INDEX(GOOGLEFINANCE(""NSE:""&amp;C89,""open"",DATE(2026,5,2)),2,2),""N/A"")"),2268.8)</f>
        <v>2268.8</v>
      </c>
      <c r="H89" s="5">
        <f>IFERROR(__xludf.DUMMYFUNCTION("GOOGLEFINANCE(""NSE:""&amp;C89,""price"")"),2322.6)</f>
        <v>2322.6</v>
      </c>
      <c r="I89" s="5" t="str">
        <f t="shared" si="1"/>
        <v>🟢 +0.0%</v>
      </c>
      <c r="J89" s="5" t="str">
        <f t="shared" si="2"/>
        <v>🟢 +-8.7%</v>
      </c>
      <c r="K89" s="6" t="str">
        <f t="shared" si="3"/>
        <v>🟢 +-2.3%</v>
      </c>
    </row>
    <row r="90" ht="15.75" customHeight="1">
      <c r="A90" s="2">
        <v>89.0</v>
      </c>
      <c r="B90" s="2" t="s">
        <v>235</v>
      </c>
      <c r="C90" s="2" t="s">
        <v>236</v>
      </c>
      <c r="D90" s="2" t="s">
        <v>237</v>
      </c>
      <c r="E90" s="4">
        <f>IFERROR(__xludf.DUMMYFUNCTION("IFERROR(INDEX(GOOGLEFINANCE(""NSE:""&amp;C90,""open"",DATE(2026,1,1)),2,2),""N/A"")"),18285.0)</f>
        <v>18285</v>
      </c>
      <c r="F90" s="4">
        <f>IFERROR(__xludf.DUMMYFUNCTION("IFERROR(INDEX(GOOGLEFINANCE(""NSE:""&amp;C90,""open"",DATE(2026,4,1)),2,2),""N/A"")"),25240.0)</f>
        <v>25240</v>
      </c>
      <c r="G90" s="4">
        <f>IFERROR(__xludf.DUMMYFUNCTION("IFERROR(INDEX(GOOGLEFINANCE(""NSE:""&amp;C90,""open"",DATE(2026,5,2)),2,2),""N/A"")"),33880.0)</f>
        <v>33880</v>
      </c>
      <c r="H90" s="5">
        <f>IFERROR(__xludf.DUMMYFUNCTION("GOOGLEFINANCE(""NSE:""&amp;C90,""price"")"),34270.0)</f>
        <v>34270</v>
      </c>
      <c r="I90" s="5" t="str">
        <f t="shared" si="1"/>
        <v>🟢 +87.4%</v>
      </c>
      <c r="J90" s="5" t="str">
        <f t="shared" si="2"/>
        <v>🟢 +-26.3%</v>
      </c>
      <c r="K90" s="6" t="str">
        <f t="shared" si="3"/>
        <v>🟢 +-1.1%</v>
      </c>
    </row>
    <row r="91" ht="15.75" customHeight="1">
      <c r="A91" s="2">
        <v>90.0</v>
      </c>
      <c r="B91" s="2" t="s">
        <v>238</v>
      </c>
      <c r="C91" s="2" t="s">
        <v>239</v>
      </c>
      <c r="D91" s="2" t="s">
        <v>81</v>
      </c>
      <c r="E91" s="4">
        <f>IFERROR(__xludf.DUMMYFUNCTION("IFERROR(INDEX(GOOGLEFINANCE(""NSE:""&amp;C91,""open"",DATE(2026,1,1)),2,2),""N/A"")"),32990.0)</f>
        <v>32990</v>
      </c>
      <c r="F91" s="4">
        <f>IFERROR(__xludf.DUMMYFUNCTION("IFERROR(INDEX(GOOGLEFINANCE(""NSE:""&amp;C91,""open"",DATE(2026,4,1)),2,2),""N/A"")"),27245.0)</f>
        <v>27245</v>
      </c>
      <c r="G91" s="4">
        <f>IFERROR(__xludf.DUMMYFUNCTION("IFERROR(INDEX(GOOGLEFINANCE(""NSE:""&amp;C91,""open"",DATE(2026,5,2)),2,2),""N/A"")"),31400.0)</f>
        <v>31400</v>
      </c>
      <c r="H91" s="5">
        <f>IFERROR(__xludf.DUMMYFUNCTION("GOOGLEFINANCE(""NSE:""&amp;C91,""price"")"),30755.0)</f>
        <v>30755</v>
      </c>
      <c r="I91" s="5" t="str">
        <f t="shared" si="1"/>
        <v>🔴 -6.8%</v>
      </c>
      <c r="J91" s="5" t="str">
        <f t="shared" si="2"/>
        <v>🟢 +-11.4%</v>
      </c>
      <c r="K91" s="6" t="str">
        <f t="shared" si="3"/>
        <v>🔴 2.1%</v>
      </c>
    </row>
    <row r="92" ht="15.75" customHeight="1">
      <c r="A92" s="2">
        <v>91.0</v>
      </c>
      <c r="B92" s="2" t="s">
        <v>240</v>
      </c>
      <c r="C92" s="2" t="s">
        <v>241</v>
      </c>
      <c r="D92" s="2" t="s">
        <v>242</v>
      </c>
      <c r="E92" s="4">
        <f>IFERROR(__xludf.DUMMYFUNCTION("IFERROR(INDEX(GOOGLEFINANCE(""NSE:""&amp;C92,""open"",DATE(2026,1,1)),2,2),""N/A"")"),229.75)</f>
        <v>229.75</v>
      </c>
      <c r="F92" s="4">
        <f>IFERROR(__xludf.DUMMYFUNCTION("IFERROR(INDEX(GOOGLEFINANCE(""NSE:""&amp;C92,""open"",DATE(2026,4,1)),2,2),""N/A"")"),166.5)</f>
        <v>166.5</v>
      </c>
      <c r="G92" s="4">
        <f>IFERROR(__xludf.DUMMYFUNCTION("IFERROR(INDEX(GOOGLEFINANCE(""NSE:""&amp;C92,""open"",DATE(2026,5,2)),2,2),""N/A"")"),221.58)</f>
        <v>221.58</v>
      </c>
      <c r="H92" s="5">
        <f>IFERROR(__xludf.DUMMYFUNCTION("GOOGLEFINANCE(""NSE:""&amp;C92,""price"")"),219.25)</f>
        <v>219.25</v>
      </c>
      <c r="I92" s="5" t="str">
        <f t="shared" si="1"/>
        <v>🔴 -4.6%</v>
      </c>
      <c r="J92" s="5" t="str">
        <f t="shared" si="2"/>
        <v>🟢 +-24.1%</v>
      </c>
      <c r="K92" s="6" t="str">
        <f t="shared" si="3"/>
        <v>🔴 1.1%</v>
      </c>
    </row>
    <row r="93" ht="15.75" customHeight="1">
      <c r="A93" s="2">
        <v>92.0</v>
      </c>
      <c r="B93" s="2" t="s">
        <v>243</v>
      </c>
      <c r="C93" s="2" t="s">
        <v>244</v>
      </c>
      <c r="D93" s="2" t="s">
        <v>245</v>
      </c>
      <c r="E93" s="4">
        <f>IFERROR(__xludf.DUMMYFUNCTION("IFERROR(INDEX(GOOGLEFINANCE(""NSE:""&amp;C93,""open"",DATE(2026,1,1)),2,2),""N/A"")"),2305.0)</f>
        <v>2305</v>
      </c>
      <c r="F93" s="4">
        <f>IFERROR(__xludf.DUMMYFUNCTION("IFERROR(INDEX(GOOGLEFINANCE(""NSE:""&amp;C93,""open"",DATE(2026,4,1)),2,2),""N/A"")"),1828.0)</f>
        <v>1828</v>
      </c>
      <c r="G93" s="4">
        <f>IFERROR(__xludf.DUMMYFUNCTION("IFERROR(INDEX(GOOGLEFINANCE(""NSE:""&amp;C93,""open"",DATE(2026,5,2)),2,2),""N/A"")"),1840.0)</f>
        <v>1840</v>
      </c>
      <c r="H93" s="5">
        <f>IFERROR(__xludf.DUMMYFUNCTION("GOOGLEFINANCE(""NSE:""&amp;C93,""price"")"),1820.0)</f>
        <v>1820</v>
      </c>
      <c r="I93" s="5" t="str">
        <f t="shared" si="1"/>
        <v>🔴 -21.0%</v>
      </c>
      <c r="J93" s="5" t="str">
        <f t="shared" si="2"/>
        <v>🔴 0.4%</v>
      </c>
      <c r="K93" s="6" t="str">
        <f t="shared" si="3"/>
        <v>🔴 1.1%</v>
      </c>
    </row>
    <row r="94" ht="15.75" customHeight="1">
      <c r="A94" s="2">
        <v>93.0</v>
      </c>
      <c r="B94" s="2" t="s">
        <v>246</v>
      </c>
      <c r="C94" s="2" t="s">
        <v>247</v>
      </c>
      <c r="D94" s="2" t="s">
        <v>248</v>
      </c>
      <c r="E94" s="4">
        <f>IFERROR(__xludf.DUMMYFUNCTION("IFERROR(INDEX(GOOGLEFINANCE(""NSE:""&amp;C94,""open"",DATE(2026,1,1)),2,2),""N/A"")"),1343.9)</f>
        <v>1343.9</v>
      </c>
      <c r="F94" s="4">
        <f>IFERROR(__xludf.DUMMYFUNCTION("IFERROR(INDEX(GOOGLEFINANCE(""NSE:""&amp;C94,""open"",DATE(2026,4,1)),2,2),""N/A"")"),1228.1)</f>
        <v>1228.1</v>
      </c>
      <c r="G94" s="4">
        <f>IFERROR(__xludf.DUMMYFUNCTION("IFERROR(INDEX(GOOGLEFINANCE(""NSE:""&amp;C94,""open"",DATE(2026,5,2)),2,2),""N/A"")"),1264.3)</f>
        <v>1264.3</v>
      </c>
      <c r="H94" s="5">
        <f>IFERROR(__xludf.DUMMYFUNCTION("GOOGLEFINANCE(""NSE:""&amp;C94,""price"")"),1250.9)</f>
        <v>1250.9</v>
      </c>
      <c r="I94" s="5" t="str">
        <f t="shared" si="1"/>
        <v>🔴 -6.9%</v>
      </c>
      <c r="J94" s="5" t="str">
        <f t="shared" si="2"/>
        <v>🟢 +-1.8%</v>
      </c>
      <c r="K94" s="6" t="str">
        <f t="shared" si="3"/>
        <v>🔴 1.1%</v>
      </c>
    </row>
    <row r="95" ht="15.75" customHeight="1">
      <c r="A95" s="2">
        <v>94.0</v>
      </c>
      <c r="B95" s="2" t="s">
        <v>249</v>
      </c>
      <c r="C95" s="2" t="s">
        <v>250</v>
      </c>
      <c r="D95" s="2" t="s">
        <v>34</v>
      </c>
      <c r="E95" s="4">
        <f>IFERROR(__xludf.DUMMYFUNCTION("IFERROR(INDEX(GOOGLEFINANCE(""NSE:""&amp;C95,""open"",DATE(2026,1,1)),2,2),""N/A"")"),1962.1)</f>
        <v>1962.1</v>
      </c>
      <c r="F95" s="4">
        <f>IFERROR(__xludf.DUMMYFUNCTION("IFERROR(INDEX(GOOGLEFINANCE(""NSE:""&amp;C95,""open"",DATE(2026,4,1)),2,2),""N/A"")"),1735.0)</f>
        <v>1735</v>
      </c>
      <c r="G95" s="4">
        <f>IFERROR(__xludf.DUMMYFUNCTION("IFERROR(INDEX(GOOGLEFINANCE(""NSE:""&amp;C95,""open"",DATE(2026,5,2)),2,2),""N/A"")"),1762.0)</f>
        <v>1762</v>
      </c>
      <c r="H95" s="5">
        <f>IFERROR(__xludf.DUMMYFUNCTION("GOOGLEFINANCE(""NSE:""&amp;C95,""price"")"),1775.0)</f>
        <v>1775</v>
      </c>
      <c r="I95" s="5" t="str">
        <f t="shared" si="1"/>
        <v>🔴 -9.5%</v>
      </c>
      <c r="J95" s="5" t="str">
        <f t="shared" si="2"/>
        <v>🟢 +-2.3%</v>
      </c>
      <c r="K95" s="6" t="str">
        <f t="shared" si="3"/>
        <v>🟢 +-0.7%</v>
      </c>
    </row>
    <row r="96" ht="15.75" customHeight="1">
      <c r="A96" s="2">
        <v>95.0</v>
      </c>
      <c r="B96" s="2" t="s">
        <v>251</v>
      </c>
      <c r="C96" s="2" t="s">
        <v>252</v>
      </c>
      <c r="D96" s="2" t="s">
        <v>34</v>
      </c>
      <c r="E96" s="4" t="str">
        <f>IFERROR(__xludf.DUMMYFUNCTION("IFERROR(INDEX(GOOGLEFINANCE(""NSE:""&amp;C96,""open"",DATE(2026,1,1)),2,2),""N/A"")"),"N/A")</f>
        <v>N/A</v>
      </c>
      <c r="F96" s="4" t="str">
        <f>IFERROR(__xludf.DUMMYFUNCTION("IFERROR(INDEX(GOOGLEFINANCE(""NSE:""&amp;C96,""open"",DATE(2026,4,1)),2,2),""N/A"")"),"N/A")</f>
        <v>N/A</v>
      </c>
      <c r="G96" s="4" t="str">
        <f>IFERROR(__xludf.DUMMYFUNCTION("IFERROR(INDEX(GOOGLEFINANCE(""NSE:""&amp;C96,""open"",DATE(2026,5,2)),2,2),""N/A"")"),"N/A")</f>
        <v>N/A</v>
      </c>
      <c r="H96" s="5" t="str">
        <f>IFERROR(__xludf.DUMMYFUNCTION("GOOGLEFINANCE(""NSE:""&amp;C96,""price"")"),"#N/A")</f>
        <v>#N/A</v>
      </c>
      <c r="I96" s="5" t="str">
        <f t="shared" si="1"/>
        <v>#N/A</v>
      </c>
      <c r="J96" s="5" t="str">
        <f t="shared" si="2"/>
        <v>#N/A</v>
      </c>
      <c r="K96" s="6" t="str">
        <f t="shared" si="3"/>
        <v>#N/A</v>
      </c>
    </row>
    <row r="97" ht="15.75" customHeight="1">
      <c r="A97" s="2">
        <v>96.0</v>
      </c>
      <c r="B97" s="2" t="s">
        <v>253</v>
      </c>
      <c r="C97" s="2" t="s">
        <v>254</v>
      </c>
      <c r="D97" s="2" t="s">
        <v>255</v>
      </c>
      <c r="E97" s="4">
        <f>IFERROR(__xludf.DUMMYFUNCTION("IFERROR(INDEX(GOOGLEFINANCE(""NSE:""&amp;C97,""open"",DATE(2026,1,1)),2,2),""N/A"")"),669.3)</f>
        <v>669.3</v>
      </c>
      <c r="F97" s="4">
        <f>IFERROR(__xludf.DUMMYFUNCTION("IFERROR(INDEX(GOOGLEFINANCE(""NSE:""&amp;C97,""open"",DATE(2026,4,1)),2,2),""N/A"")"),516.9)</f>
        <v>516.9</v>
      </c>
      <c r="G97" s="4">
        <f>IFERROR(__xludf.DUMMYFUNCTION("IFERROR(INDEX(GOOGLEFINANCE(""NSE:""&amp;C97,""open"",DATE(2026,5,2)),2,2),""N/A"")"),519.35)</f>
        <v>519.35</v>
      </c>
      <c r="H97" s="5">
        <f>IFERROR(__xludf.DUMMYFUNCTION("GOOGLEFINANCE(""NSE:""&amp;C97,""price"")"),538.0)</f>
        <v>538</v>
      </c>
      <c r="I97" s="5" t="str">
        <f t="shared" si="1"/>
        <v>🔴 -19.6%</v>
      </c>
      <c r="J97" s="5" t="str">
        <f t="shared" si="2"/>
        <v>🟢 +-3.9%</v>
      </c>
      <c r="K97" s="6" t="str">
        <f t="shared" si="3"/>
        <v>🟢 +-3.5%</v>
      </c>
    </row>
    <row r="98" ht="15.75" customHeight="1">
      <c r="A98" s="2">
        <v>97.0</v>
      </c>
      <c r="B98" s="2" t="s">
        <v>256</v>
      </c>
      <c r="C98" s="2" t="s">
        <v>257</v>
      </c>
      <c r="D98" s="2" t="s">
        <v>258</v>
      </c>
      <c r="E98" s="4">
        <f>IFERROR(__xludf.DUMMYFUNCTION("IFERROR(INDEX(GOOGLEFINANCE(""NSE:""&amp;C98,""open"",DATE(2026,1,1)),2,2),""N/A"")"),85.62)</f>
        <v>85.62</v>
      </c>
      <c r="F98" s="4">
        <f>IFERROR(__xludf.DUMMYFUNCTION("IFERROR(INDEX(GOOGLEFINANCE(""NSE:""&amp;C98,""open"",DATE(2026,4,1)),2,2),""N/A"")"),60.84)</f>
        <v>60.84</v>
      </c>
      <c r="G98" s="4">
        <f>IFERROR(__xludf.DUMMYFUNCTION("IFERROR(INDEX(GOOGLEFINANCE(""NSE:""&amp;C98,""open"",DATE(2026,5,2)),2,2),""N/A"")"),70.07)</f>
        <v>70.07</v>
      </c>
      <c r="H98" s="5">
        <f>IFERROR(__xludf.DUMMYFUNCTION("GOOGLEFINANCE(""NSE:""&amp;C98,""price"")"),68.84)</f>
        <v>68.84</v>
      </c>
      <c r="I98" s="5" t="str">
        <f t="shared" si="1"/>
        <v>🔴 -19.6%</v>
      </c>
      <c r="J98" s="5" t="str">
        <f t="shared" si="2"/>
        <v>🟢 +-11.6%</v>
      </c>
      <c r="K98" s="6" t="str">
        <f t="shared" si="3"/>
        <v>🔴 1.8%</v>
      </c>
    </row>
    <row r="99" ht="15.75" customHeight="1">
      <c r="A99" s="2">
        <v>98.0</v>
      </c>
      <c r="B99" s="2" t="s">
        <v>259</v>
      </c>
      <c r="C99" s="2" t="s">
        <v>260</v>
      </c>
      <c r="D99" s="2" t="s">
        <v>261</v>
      </c>
      <c r="E99" s="4">
        <f>IFERROR(__xludf.DUMMYFUNCTION("IFERROR(INDEX(GOOGLEFINANCE(""NSE:""&amp;C99,""open"",DATE(2026,1,1)),2,2),""N/A"")"),134.5)</f>
        <v>134.5</v>
      </c>
      <c r="F99" s="4">
        <f>IFERROR(__xludf.DUMMYFUNCTION("IFERROR(INDEX(GOOGLEFINANCE(""NSE:""&amp;C99,""open"",DATE(2026,4,1)),2,2),""N/A"")"),117.0)</f>
        <v>117</v>
      </c>
      <c r="G99" s="4">
        <f>IFERROR(__xludf.DUMMYFUNCTION("IFERROR(INDEX(GOOGLEFINANCE(""NSE:""&amp;C99,""open"",DATE(2026,5,2)),2,2),""N/A"")"),125.5)</f>
        <v>125.5</v>
      </c>
      <c r="H99" s="5">
        <f>IFERROR(__xludf.DUMMYFUNCTION("GOOGLEFINANCE(""NSE:""&amp;C99,""price"")"),127.69)</f>
        <v>127.69</v>
      </c>
      <c r="I99" s="5" t="str">
        <f t="shared" si="1"/>
        <v>🔴 -5.1%</v>
      </c>
      <c r="J99" s="5" t="str">
        <f t="shared" si="2"/>
        <v>🟢 +-8.4%</v>
      </c>
      <c r="K99" s="6" t="str">
        <f t="shared" si="3"/>
        <v>🟢 +-1.7%</v>
      </c>
    </row>
    <row r="100" ht="15.75" customHeight="1">
      <c r="A100" s="2">
        <v>99.0</v>
      </c>
      <c r="B100" s="2" t="s">
        <v>262</v>
      </c>
      <c r="C100" s="2" t="s">
        <v>263</v>
      </c>
      <c r="D100" s="2" t="s">
        <v>264</v>
      </c>
      <c r="E100" s="4">
        <f>IFERROR(__xludf.DUMMYFUNCTION("IFERROR(INDEX(GOOGLEFINANCE(""NSE:""&amp;C100,""open"",DATE(2026,1,1)),2,2),""N/A"")"),2234.0)</f>
        <v>2234</v>
      </c>
      <c r="F100" s="4">
        <f>IFERROR(__xludf.DUMMYFUNCTION("IFERROR(INDEX(GOOGLEFINANCE(""NSE:""&amp;C100,""open"",DATE(2026,4,1)),2,2),""N/A"")"),2004.0)</f>
        <v>2004</v>
      </c>
      <c r="G100" s="4">
        <f>IFERROR(__xludf.DUMMYFUNCTION("IFERROR(INDEX(GOOGLEFINANCE(""NSE:""&amp;C100,""open"",DATE(2026,5,2)),2,2),""N/A"")"),2036.6)</f>
        <v>2036.6</v>
      </c>
      <c r="H100" s="5">
        <f>IFERROR(__xludf.DUMMYFUNCTION("GOOGLEFINANCE(""NSE:""&amp;C100,""price"")"),2050.0)</f>
        <v>2050</v>
      </c>
      <c r="I100" s="5" t="str">
        <f t="shared" si="1"/>
        <v>🔴 -8.2%</v>
      </c>
      <c r="J100" s="5" t="str">
        <f t="shared" si="2"/>
        <v>🟢 +-2.2%</v>
      </c>
      <c r="K100" s="6" t="str">
        <f t="shared" si="3"/>
        <v>🟢 +-0.7%</v>
      </c>
    </row>
    <row r="101" ht="15.75" customHeight="1">
      <c r="A101" s="2">
        <v>100.0</v>
      </c>
      <c r="B101" s="2" t="s">
        <v>265</v>
      </c>
      <c r="C101" s="2" t="s">
        <v>266</v>
      </c>
      <c r="D101" s="2" t="s">
        <v>267</v>
      </c>
      <c r="E101" s="4">
        <f>IFERROR(__xludf.DUMMYFUNCTION("IFERROR(INDEX(GOOGLEFINANCE(""NSE:""&amp;C101,""open"",DATE(2026,1,1)),2,2),""N/A"")"),838.0)</f>
        <v>838</v>
      </c>
      <c r="F101" s="4">
        <f>IFERROR(__xludf.DUMMYFUNCTION("IFERROR(INDEX(GOOGLEFINANCE(""NSE:""&amp;C101,""open"",DATE(2026,4,1)),2,2),""N/A"")"),879.35)</f>
        <v>879.35</v>
      </c>
      <c r="G101" s="4">
        <f>IFERROR(__xludf.DUMMYFUNCTION("IFERROR(INDEX(GOOGLEFINANCE(""NSE:""&amp;C101,""open"",DATE(2026,5,2)),2,2),""N/A"")"),857.95)</f>
        <v>857.95</v>
      </c>
      <c r="H101" s="5">
        <f>IFERROR(__xludf.DUMMYFUNCTION("GOOGLEFINANCE(""NSE:""&amp;C101,""price"")"),849.9)</f>
        <v>849.9</v>
      </c>
      <c r="I101" s="5" t="str">
        <f t="shared" si="1"/>
        <v>🟢 +1.4%</v>
      </c>
      <c r="J101" s="5" t="str">
        <f t="shared" si="2"/>
        <v>🔴 3.5%</v>
      </c>
      <c r="K101" s="6" t="str">
        <f t="shared" si="3"/>
        <v>🔴 0.9%</v>
      </c>
    </row>
    <row r="102" ht="15.75" customHeight="1">
      <c r="A102" s="2">
        <v>101.0</v>
      </c>
      <c r="B102" s="2" t="s">
        <v>268</v>
      </c>
      <c r="C102" s="2" t="s">
        <v>269</v>
      </c>
      <c r="D102" s="2" t="s">
        <v>50</v>
      </c>
      <c r="E102" s="4">
        <f>IFERROR(__xludf.DUMMYFUNCTION("IFERROR(INDEX(GOOGLEFINANCE(""NSE:""&amp;C102,""open"",DATE(2026,1,1)),2,2),""N/A"")"),741.95)</f>
        <v>741.95</v>
      </c>
      <c r="F102" s="4">
        <f>IFERROR(__xludf.DUMMYFUNCTION("IFERROR(INDEX(GOOGLEFINANCE(""NSE:""&amp;C102,""open"",DATE(2026,4,1)),2,2),""N/A"")"),597.0)</f>
        <v>597</v>
      </c>
      <c r="G102" s="4">
        <f>IFERROR(__xludf.DUMMYFUNCTION("IFERROR(INDEX(GOOGLEFINANCE(""NSE:""&amp;C102,""open"",DATE(2026,5,2)),2,2),""N/A"")"),640.0)</f>
        <v>640</v>
      </c>
      <c r="H102" s="5">
        <f>IFERROR(__xludf.DUMMYFUNCTION("GOOGLEFINANCE(""NSE:""&amp;C102,""price"")"),651.3)</f>
        <v>651.3</v>
      </c>
      <c r="I102" s="5" t="str">
        <f t="shared" si="1"/>
        <v>🔴 -12.2%</v>
      </c>
      <c r="J102" s="5" t="str">
        <f t="shared" si="2"/>
        <v>🟢 +-8.3%</v>
      </c>
      <c r="K102" s="6" t="str">
        <f t="shared" si="3"/>
        <v>🟢 +-1.7%</v>
      </c>
    </row>
    <row r="103" ht="15.75" customHeight="1">
      <c r="A103" s="2">
        <v>102.0</v>
      </c>
      <c r="B103" s="2" t="s">
        <v>270</v>
      </c>
      <c r="C103" s="2" t="s">
        <v>271</v>
      </c>
      <c r="D103" s="2" t="s">
        <v>50</v>
      </c>
      <c r="E103" s="4">
        <f>IFERROR(__xludf.DUMMYFUNCTION("IFERROR(INDEX(GOOGLEFINANCE(""NSE:""&amp;C103,""open"",DATE(2026,1,1)),2,2),""N/A"")"),167.0)</f>
        <v>167</v>
      </c>
      <c r="F103" s="4">
        <f>IFERROR(__xludf.DUMMYFUNCTION("IFERROR(INDEX(GOOGLEFINANCE(""NSE:""&amp;C103,""open"",DATE(2026,4,1)),2,2),""N/A"")"),140.0)</f>
        <v>140</v>
      </c>
      <c r="G103" s="4">
        <f>IFERROR(__xludf.DUMMYFUNCTION("IFERROR(INDEX(GOOGLEFINANCE(""NSE:""&amp;C103,""open"",DATE(2026,5,2)),2,2),""N/A"")"),143.5)</f>
        <v>143.5</v>
      </c>
      <c r="H103" s="5">
        <f>IFERROR(__xludf.DUMMYFUNCTION("GOOGLEFINANCE(""NSE:""&amp;C103,""price"")"),142.4)</f>
        <v>142.4</v>
      </c>
      <c r="I103" s="5" t="str">
        <f t="shared" si="1"/>
        <v>🔴 -14.7%</v>
      </c>
      <c r="J103" s="5" t="str">
        <f t="shared" si="2"/>
        <v>🟢 +-1.7%</v>
      </c>
      <c r="K103" s="6" t="str">
        <f t="shared" si="3"/>
        <v>🔴 0.8%</v>
      </c>
    </row>
    <row r="104" ht="15.75" customHeight="1">
      <c r="A104" s="2">
        <v>103.0</v>
      </c>
      <c r="B104" s="2" t="s">
        <v>272</v>
      </c>
      <c r="C104" s="2" t="s">
        <v>273</v>
      </c>
      <c r="D104" s="2" t="s">
        <v>274</v>
      </c>
      <c r="E104" s="4">
        <f>IFERROR(__xludf.DUMMYFUNCTION("IFERROR(INDEX(GOOGLEFINANCE(""NSE:""&amp;C104,""open"",DATE(2026,1,1)),2,2),""N/A"")"),683.5)</f>
        <v>683.5</v>
      </c>
      <c r="F104" s="4">
        <f>IFERROR(__xludf.DUMMYFUNCTION("IFERROR(INDEX(GOOGLEFINANCE(""NSE:""&amp;C104,""open"",DATE(2026,4,1)),2,2),""N/A"")"),510.0)</f>
        <v>510</v>
      </c>
      <c r="G104" s="4">
        <f>IFERROR(__xludf.DUMMYFUNCTION("IFERROR(INDEX(GOOGLEFINANCE(""NSE:""&amp;C104,""open"",DATE(2026,5,2)),2,2),""N/A"")"),544.5)</f>
        <v>544.5</v>
      </c>
      <c r="H104" s="5">
        <f>IFERROR(__xludf.DUMMYFUNCTION("GOOGLEFINANCE(""NSE:""&amp;C104,""price"")"),569.25)</f>
        <v>569.25</v>
      </c>
      <c r="I104" s="5" t="str">
        <f t="shared" si="1"/>
        <v>🔴 -16.7%</v>
      </c>
      <c r="J104" s="5" t="str">
        <f t="shared" si="2"/>
        <v>🟢 +-10.4%</v>
      </c>
      <c r="K104" s="6" t="str">
        <f t="shared" si="3"/>
        <v>🟢 +-4.3%</v>
      </c>
    </row>
    <row r="105" ht="15.75" customHeight="1">
      <c r="A105" s="2">
        <v>104.0</v>
      </c>
      <c r="B105" s="2" t="s">
        <v>275</v>
      </c>
      <c r="C105" s="2" t="s">
        <v>276</v>
      </c>
      <c r="D105" s="2" t="s">
        <v>277</v>
      </c>
      <c r="E105" s="4">
        <f>IFERROR(__xludf.DUMMYFUNCTION("IFERROR(INDEX(GOOGLEFINANCE(""NSE:""&amp;C105,""open"",DATE(2026,1,1)),2,2),""N/A"")"),125.31)</f>
        <v>125.31</v>
      </c>
      <c r="F105" s="4">
        <f>IFERROR(__xludf.DUMMYFUNCTION("IFERROR(INDEX(GOOGLEFINANCE(""NSE:""&amp;C105,""open"",DATE(2026,4,1)),2,2),""N/A"")"),90.83)</f>
        <v>90.83</v>
      </c>
      <c r="G105" s="4">
        <f>IFERROR(__xludf.DUMMYFUNCTION("IFERROR(INDEX(GOOGLEFINANCE(""NSE:""&amp;C105,""open"",DATE(2026,5,2)),2,2),""N/A"")"),104.8)</f>
        <v>104.8</v>
      </c>
      <c r="H105" s="5">
        <f>IFERROR(__xludf.DUMMYFUNCTION("GOOGLEFINANCE(""NSE:""&amp;C105,""price"")"),105.89)</f>
        <v>105.89</v>
      </c>
      <c r="I105" s="5" t="str">
        <f t="shared" si="1"/>
        <v>🔴 -15.5%</v>
      </c>
      <c r="J105" s="5" t="str">
        <f t="shared" si="2"/>
        <v>🟢 +-14.2%</v>
      </c>
      <c r="K105" s="6" t="str">
        <f t="shared" si="3"/>
        <v>🟢 +-1.0%</v>
      </c>
    </row>
    <row r="106" ht="15.75" customHeight="1">
      <c r="A106" s="2">
        <v>105.0</v>
      </c>
      <c r="B106" s="2" t="s">
        <v>278</v>
      </c>
      <c r="C106" s="2" t="s">
        <v>279</v>
      </c>
      <c r="D106" s="2" t="s">
        <v>280</v>
      </c>
      <c r="E106" s="4">
        <f>IFERROR(__xludf.DUMMYFUNCTION("IFERROR(INDEX(GOOGLEFINANCE(""NSE:""&amp;C106,""open"",DATE(2026,1,1)),2,2),""N/A"")"),141.0)</f>
        <v>141</v>
      </c>
      <c r="F106" s="4">
        <f>IFERROR(__xludf.DUMMYFUNCTION("IFERROR(INDEX(GOOGLEFINANCE(""NSE:""&amp;C106,""open"",DATE(2026,4,1)),2,2),""N/A"")"),113.97)</f>
        <v>113.97</v>
      </c>
      <c r="G106" s="4">
        <f>IFERROR(__xludf.DUMMYFUNCTION("IFERROR(INDEX(GOOGLEFINANCE(""NSE:""&amp;C106,""open"",DATE(2026,5,2)),2,2),""N/A"")"),136.0)</f>
        <v>136</v>
      </c>
      <c r="H106" s="5">
        <f>IFERROR(__xludf.DUMMYFUNCTION("GOOGLEFINANCE(""NSE:""&amp;C106,""price"")"),135.69)</f>
        <v>135.69</v>
      </c>
      <c r="I106" s="5" t="str">
        <f t="shared" si="1"/>
        <v>🔴 -3.8%</v>
      </c>
      <c r="J106" s="5" t="str">
        <f t="shared" si="2"/>
        <v>🟢 +-16.0%</v>
      </c>
      <c r="K106" s="6" t="str">
        <f t="shared" si="3"/>
        <v>🔴 0.2%</v>
      </c>
    </row>
    <row r="107" ht="15.75" customHeight="1">
      <c r="A107" s="2">
        <v>106.0</v>
      </c>
      <c r="B107" s="2" t="s">
        <v>281</v>
      </c>
      <c r="C107" s="2" t="s">
        <v>282</v>
      </c>
      <c r="D107" s="2" t="s">
        <v>31</v>
      </c>
      <c r="E107" s="4">
        <f>IFERROR(__xludf.DUMMYFUNCTION("IFERROR(INDEX(GOOGLEFINANCE(""NSE:""&amp;C107,""open"",DATE(2026,1,1)),2,2),""N/A"")"),421.05)</f>
        <v>421.05</v>
      </c>
      <c r="F107" s="4">
        <f>IFERROR(__xludf.DUMMYFUNCTION("IFERROR(INDEX(GOOGLEFINANCE(""NSE:""&amp;C107,""open"",DATE(2026,4,1)),2,2),""N/A"")"),436.8)</f>
        <v>436.8</v>
      </c>
      <c r="G107" s="4">
        <f>IFERROR(__xludf.DUMMYFUNCTION("IFERROR(INDEX(GOOGLEFINANCE(""NSE:""&amp;C107,""open"",DATE(2026,5,2)),2,2),""N/A"")"),414.55)</f>
        <v>414.55</v>
      </c>
      <c r="H107" s="5">
        <f>IFERROR(__xludf.DUMMYFUNCTION("GOOGLEFINANCE(""NSE:""&amp;C107,""price"")"),402.0)</f>
        <v>402</v>
      </c>
      <c r="I107" s="5" t="str">
        <f t="shared" si="1"/>
        <v>🔴 -4.5%</v>
      </c>
      <c r="J107" s="5" t="str">
        <f t="shared" si="2"/>
        <v>🔴 8.7%</v>
      </c>
      <c r="K107" s="6" t="str">
        <f t="shared" si="3"/>
        <v>🔴 3.1%</v>
      </c>
    </row>
    <row r="108" ht="15.75" customHeight="1">
      <c r="A108" s="2">
        <v>107.0</v>
      </c>
      <c r="B108" s="2" t="s">
        <v>283</v>
      </c>
      <c r="C108" s="2" t="s">
        <v>284</v>
      </c>
      <c r="D108" s="2" t="s">
        <v>68</v>
      </c>
      <c r="E108" s="4">
        <f>IFERROR(__xludf.DUMMYFUNCTION("IFERROR(INDEX(GOOGLEFINANCE(""NSE:""&amp;C108,""open"",DATE(2026,1,1)),2,2),""N/A"")"),865.45)</f>
        <v>865.45</v>
      </c>
      <c r="F108" s="4">
        <f>IFERROR(__xludf.DUMMYFUNCTION("IFERROR(INDEX(GOOGLEFINANCE(""NSE:""&amp;C108,""open"",DATE(2026,4,1)),2,2),""N/A"")"),765.95)</f>
        <v>765.95</v>
      </c>
      <c r="G108" s="4">
        <f>IFERROR(__xludf.DUMMYFUNCTION("IFERROR(INDEX(GOOGLEFINANCE(""NSE:""&amp;C108,""open"",DATE(2026,5,2)),2,2),""N/A"")"),925.25)</f>
        <v>925.25</v>
      </c>
      <c r="H108" s="5">
        <f>IFERROR(__xludf.DUMMYFUNCTION("GOOGLEFINANCE(""NSE:""&amp;C108,""price"")"),909.0)</f>
        <v>909</v>
      </c>
      <c r="I108" s="5" t="str">
        <f t="shared" si="1"/>
        <v>🟢 +5.0%</v>
      </c>
      <c r="J108" s="5" t="str">
        <f t="shared" si="2"/>
        <v>🟢 +-15.7%</v>
      </c>
      <c r="K108" s="6" t="str">
        <f t="shared" si="3"/>
        <v>🔴 1.8%</v>
      </c>
    </row>
    <row r="109" ht="15.75" customHeight="1">
      <c r="A109" s="2">
        <v>108.0</v>
      </c>
      <c r="B109" s="2" t="s">
        <v>285</v>
      </c>
      <c r="C109" s="2" t="s">
        <v>286</v>
      </c>
      <c r="D109" s="2" t="s">
        <v>287</v>
      </c>
      <c r="E109" s="4">
        <f>IFERROR(__xludf.DUMMYFUNCTION("IFERROR(INDEX(GOOGLEFINANCE(""NSE:""&amp;C109,""open"",DATE(2026,1,1)),2,2),""N/A"")"),1340.6)</f>
        <v>1340.6</v>
      </c>
      <c r="F109" s="4">
        <f>IFERROR(__xludf.DUMMYFUNCTION("IFERROR(INDEX(GOOGLEFINANCE(""NSE:""&amp;C109,""open"",DATE(2026,4,1)),2,2),""N/A"")"),984.9)</f>
        <v>984.9</v>
      </c>
      <c r="G109" s="4">
        <f>IFERROR(__xludf.DUMMYFUNCTION("IFERROR(INDEX(GOOGLEFINANCE(""NSE:""&amp;C109,""open"",DATE(2026,5,2)),2,2),""N/A"")"),976.15)</f>
        <v>976.15</v>
      </c>
      <c r="H109" s="5">
        <f>IFERROR(__xludf.DUMMYFUNCTION("GOOGLEFINANCE(""NSE:""&amp;C109,""price"")"),959.65)</f>
        <v>959.65</v>
      </c>
      <c r="I109" s="5" t="str">
        <f t="shared" si="1"/>
        <v>🔴 -28.4%</v>
      </c>
      <c r="J109" s="5" t="str">
        <f t="shared" si="2"/>
        <v>🔴 2.6%</v>
      </c>
      <c r="K109" s="6" t="str">
        <f t="shared" si="3"/>
        <v>🔴 1.7%</v>
      </c>
    </row>
    <row r="110" ht="15.75" customHeight="1">
      <c r="A110" s="2">
        <v>109.0</v>
      </c>
      <c r="B110" s="2" t="s">
        <v>288</v>
      </c>
      <c r="C110" s="2" t="s">
        <v>289</v>
      </c>
      <c r="D110" s="2" t="s">
        <v>290</v>
      </c>
      <c r="E110" s="4">
        <f>IFERROR(__xludf.DUMMYFUNCTION("IFERROR(INDEX(GOOGLEFINANCE(""NSE:""&amp;C110,""open"",DATE(2026,1,1)),2,2),""N/A"")"),1615.4)</f>
        <v>1615.4</v>
      </c>
      <c r="F110" s="4">
        <f>IFERROR(__xludf.DUMMYFUNCTION("IFERROR(INDEX(GOOGLEFINANCE(""NSE:""&amp;C110,""open"",DATE(2026,4,1)),2,2),""N/A"")"),1290.0)</f>
        <v>1290</v>
      </c>
      <c r="G110" s="4">
        <f>IFERROR(__xludf.DUMMYFUNCTION("IFERROR(INDEX(GOOGLEFINANCE(""NSE:""&amp;C110,""open"",DATE(2026,5,2)),2,2),""N/A"")"),1195.0)</f>
        <v>1195</v>
      </c>
      <c r="H110" s="5">
        <f>IFERROR(__xludf.DUMMYFUNCTION("GOOGLEFINANCE(""NSE:""&amp;C110,""price"")"),1177.6)</f>
        <v>1177.6</v>
      </c>
      <c r="I110" s="5" t="str">
        <f t="shared" si="1"/>
        <v>🔴 -27.1%</v>
      </c>
      <c r="J110" s="5" t="str">
        <f t="shared" si="2"/>
        <v>🔴 9.5%</v>
      </c>
      <c r="K110" s="6" t="str">
        <f t="shared" si="3"/>
        <v>🔴 1.5%</v>
      </c>
    </row>
    <row r="111" ht="15.75" customHeight="1">
      <c r="A111" s="2">
        <v>110.0</v>
      </c>
      <c r="B111" s="2" t="s">
        <v>291</v>
      </c>
      <c r="C111" s="2" t="s">
        <v>292</v>
      </c>
      <c r="D111" s="2" t="s">
        <v>258</v>
      </c>
      <c r="E111" s="4">
        <f>IFERROR(__xludf.DUMMYFUNCTION("IFERROR(INDEX(GOOGLEFINANCE(""NSE:""&amp;C111,""open"",DATE(2026,1,1)),2,2),""N/A"")"),5081.0)</f>
        <v>5081</v>
      </c>
      <c r="F111" s="4">
        <f>IFERROR(__xludf.DUMMYFUNCTION("IFERROR(INDEX(GOOGLEFINANCE(""NSE:""&amp;C111,""open"",DATE(2026,4,1)),2,2),""N/A"")"),4063.8)</f>
        <v>4063.8</v>
      </c>
      <c r="G111" s="4">
        <f>IFERROR(__xludf.DUMMYFUNCTION("IFERROR(INDEX(GOOGLEFINANCE(""NSE:""&amp;C111,""open"",DATE(2026,5,2)),2,2),""N/A"")"),4349.0)</f>
        <v>4349</v>
      </c>
      <c r="H111" s="5">
        <f>IFERROR(__xludf.DUMMYFUNCTION("GOOGLEFINANCE(""NSE:""&amp;C111,""price"")"),4250.7)</f>
        <v>4250.7</v>
      </c>
      <c r="I111" s="5" t="str">
        <f t="shared" si="1"/>
        <v>🔴 -16.3%</v>
      </c>
      <c r="J111" s="5" t="str">
        <f t="shared" si="2"/>
        <v>🟢 +-4.4%</v>
      </c>
      <c r="K111" s="6" t="str">
        <f t="shared" si="3"/>
        <v>🔴 2.3%</v>
      </c>
    </row>
    <row r="112" ht="15.75" customHeight="1">
      <c r="A112" s="2">
        <v>111.0</v>
      </c>
      <c r="B112" s="2" t="s">
        <v>293</v>
      </c>
      <c r="C112" s="2" t="s">
        <v>294</v>
      </c>
      <c r="D112" s="2" t="s">
        <v>99</v>
      </c>
      <c r="E112" s="4">
        <f>IFERROR(__xludf.DUMMYFUNCTION("IFERROR(INDEX(GOOGLEFINANCE(""NSE:""&amp;C112,""open"",DATE(2026,1,1)),2,2),""N/A"")"),1420.0)</f>
        <v>1420</v>
      </c>
      <c r="F112" s="4">
        <f>IFERROR(__xludf.DUMMYFUNCTION("IFERROR(INDEX(GOOGLEFINANCE(""NSE:""&amp;C112,""open"",DATE(2026,4,1)),2,2),""N/A"")"),1602.0)</f>
        <v>1602</v>
      </c>
      <c r="G112" s="4">
        <f>IFERROR(__xludf.DUMMYFUNCTION("IFERROR(INDEX(GOOGLEFINANCE(""NSE:""&amp;C112,""open"",DATE(2026,5,2)),2,2),""N/A"")"),1538.0)</f>
        <v>1538</v>
      </c>
      <c r="H112" s="5">
        <f>IFERROR(__xludf.DUMMYFUNCTION("GOOGLEFINANCE(""NSE:""&amp;C112,""price"")"),1536.6)</f>
        <v>1536.6</v>
      </c>
      <c r="I112" s="5" t="str">
        <f t="shared" si="1"/>
        <v>🟢 +8.2%</v>
      </c>
      <c r="J112" s="5" t="str">
        <f t="shared" si="2"/>
        <v>🔴 4.3%</v>
      </c>
      <c r="K112" s="6" t="str">
        <f t="shared" si="3"/>
        <v>🔴 0.1%</v>
      </c>
    </row>
    <row r="113" ht="15.75" customHeight="1">
      <c r="A113" s="2">
        <v>112.0</v>
      </c>
      <c r="B113" s="2" t="s">
        <v>295</v>
      </c>
      <c r="C113" s="2" t="s">
        <v>296</v>
      </c>
      <c r="D113" s="2" t="s">
        <v>297</v>
      </c>
      <c r="E113" s="4">
        <f>IFERROR(__xludf.DUMMYFUNCTION("IFERROR(INDEX(GOOGLEFINANCE(""NSE:""&amp;C113,""open"",DATE(2026,1,1)),2,2),""N/A"")"),21.1)</f>
        <v>21.1</v>
      </c>
      <c r="F113" s="4">
        <f>IFERROR(__xludf.DUMMYFUNCTION("IFERROR(INDEX(GOOGLEFINANCE(""NSE:""&amp;C113,""open"",DATE(2026,4,1)),2,2),""N/A"")"),22.2)</f>
        <v>22.2</v>
      </c>
      <c r="G113" s="4">
        <f>IFERROR(__xludf.DUMMYFUNCTION("IFERROR(INDEX(GOOGLEFINANCE(""NSE:""&amp;C113,""open"",DATE(2026,5,2)),2,2),""N/A"")"),21.7)</f>
        <v>21.7</v>
      </c>
      <c r="H113" s="5">
        <f>IFERROR(__xludf.DUMMYFUNCTION("GOOGLEFINANCE(""NSE:""&amp;C113,""price"")"),21.62)</f>
        <v>21.62</v>
      </c>
      <c r="I113" s="5" t="str">
        <f t="shared" si="1"/>
        <v>🟢 +2.5%</v>
      </c>
      <c r="J113" s="5" t="str">
        <f t="shared" si="2"/>
        <v>🔴 2.7%</v>
      </c>
      <c r="K113" s="6" t="str">
        <f t="shared" si="3"/>
        <v>🔴 0.4%</v>
      </c>
    </row>
    <row r="114" ht="15.75" customHeight="1">
      <c r="A114" s="2">
        <v>113.0</v>
      </c>
      <c r="B114" s="2" t="s">
        <v>298</v>
      </c>
      <c r="C114" s="2" t="s">
        <v>298</v>
      </c>
      <c r="D114" s="2" t="s">
        <v>50</v>
      </c>
      <c r="E114" s="4">
        <f>IFERROR(__xludf.DUMMYFUNCTION("IFERROR(INDEX(GOOGLEFINANCE(""NSE:""&amp;C114,""open"",DATE(2026,1,1)),2,2),""N/A"")"),402.7)</f>
        <v>402.7</v>
      </c>
      <c r="F114" s="4">
        <f>IFERROR(__xludf.DUMMYFUNCTION("IFERROR(INDEX(GOOGLEFINANCE(""NSE:""&amp;C114,""open"",DATE(2026,4,1)),2,2),""N/A"")"),293.0)</f>
        <v>293</v>
      </c>
      <c r="G114" s="4">
        <f>IFERROR(__xludf.DUMMYFUNCTION("IFERROR(INDEX(GOOGLEFINANCE(""NSE:""&amp;C114,""open"",DATE(2026,5,2)),2,2),""N/A"")"),317.9)</f>
        <v>317.9</v>
      </c>
      <c r="H114" s="5">
        <f>IFERROR(__xludf.DUMMYFUNCTION("GOOGLEFINANCE(""NSE:""&amp;C114,""price"")"),310.35)</f>
        <v>310.35</v>
      </c>
      <c r="I114" s="5" t="str">
        <f t="shared" si="1"/>
        <v>🔴 -22.9%</v>
      </c>
      <c r="J114" s="5" t="str">
        <f t="shared" si="2"/>
        <v>🟢 +-5.6%</v>
      </c>
      <c r="K114" s="6" t="str">
        <f t="shared" si="3"/>
        <v>🔴 2.4%</v>
      </c>
    </row>
    <row r="115" ht="15.75" customHeight="1">
      <c r="A115" s="2">
        <v>114.0</v>
      </c>
      <c r="B115" s="2" t="s">
        <v>299</v>
      </c>
      <c r="C115" s="2" t="s">
        <v>300</v>
      </c>
      <c r="D115" s="2" t="s">
        <v>50</v>
      </c>
      <c r="E115" s="4">
        <f>IFERROR(__xludf.DUMMYFUNCTION("IFERROR(INDEX(GOOGLEFINANCE(""NSE:""&amp;C115,""open"",DATE(2026,1,1)),2,2),""N/A"")"),100.31)</f>
        <v>100.31</v>
      </c>
      <c r="F115" s="4">
        <f>IFERROR(__xludf.DUMMYFUNCTION("IFERROR(INDEX(GOOGLEFINANCE(""NSE:""&amp;C115,""open"",DATE(2026,4,1)),2,2),""N/A"")"),114.0)</f>
        <v>114</v>
      </c>
      <c r="G115" s="4">
        <f>IFERROR(__xludf.DUMMYFUNCTION("IFERROR(INDEX(GOOGLEFINANCE(""NSE:""&amp;C115,""open"",DATE(2026,5,2)),2,2),""N/A"")"),130.01)</f>
        <v>130.01</v>
      </c>
      <c r="H115" s="5">
        <f>IFERROR(__xludf.DUMMYFUNCTION("GOOGLEFINANCE(""NSE:""&amp;C115,""price"")"),134.99)</f>
        <v>134.99</v>
      </c>
      <c r="I115" s="5" t="str">
        <f t="shared" si="1"/>
        <v>🟢 +34.6%</v>
      </c>
      <c r="J115" s="5" t="str">
        <f t="shared" si="2"/>
        <v>🟢 +-15.5%</v>
      </c>
      <c r="K115" s="6" t="str">
        <f t="shared" si="3"/>
        <v>🟢 +-3.7%</v>
      </c>
    </row>
    <row r="116" ht="15.75" customHeight="1">
      <c r="A116" s="2">
        <v>115.0</v>
      </c>
      <c r="B116" s="2" t="s">
        <v>301</v>
      </c>
      <c r="C116" s="2" t="s">
        <v>302</v>
      </c>
      <c r="D116" s="2" t="s">
        <v>81</v>
      </c>
      <c r="E116" s="4">
        <f>IFERROR(__xludf.DUMMYFUNCTION("IFERROR(INDEX(GOOGLEFINANCE(""NSE:""&amp;C116,""open"",DATE(2026,1,1)),2,2),""N/A"")"),834.0)</f>
        <v>834</v>
      </c>
      <c r="F116" s="4">
        <f>IFERROR(__xludf.DUMMYFUNCTION("IFERROR(INDEX(GOOGLEFINANCE(""NSE:""&amp;C116,""open"",DATE(2026,4,1)),2,2),""N/A"")"),734.95)</f>
        <v>734.95</v>
      </c>
      <c r="G116" s="4">
        <f>IFERROR(__xludf.DUMMYFUNCTION("IFERROR(INDEX(GOOGLEFINANCE(""NSE:""&amp;C116,""open"",DATE(2026,5,2)),2,2),""N/A"")"),774.0)</f>
        <v>774</v>
      </c>
      <c r="H116" s="5">
        <f>IFERROR(__xludf.DUMMYFUNCTION("GOOGLEFINANCE(""NSE:""&amp;C116,""price"")"),775.25)</f>
        <v>775.25</v>
      </c>
      <c r="I116" s="5" t="str">
        <f t="shared" si="1"/>
        <v>🔴 -7.0%</v>
      </c>
      <c r="J116" s="5" t="str">
        <f t="shared" si="2"/>
        <v>🟢 +-5.2%</v>
      </c>
      <c r="K116" s="6" t="str">
        <f t="shared" si="3"/>
        <v>🟢 +-0.2%</v>
      </c>
    </row>
    <row r="117" ht="15.75" customHeight="1">
      <c r="A117" s="2">
        <v>116.0</v>
      </c>
      <c r="B117" s="2" t="s">
        <v>303</v>
      </c>
      <c r="C117" s="2" t="s">
        <v>304</v>
      </c>
      <c r="D117" s="2" t="s">
        <v>50</v>
      </c>
      <c r="E117" s="4">
        <f>IFERROR(__xludf.DUMMYFUNCTION("IFERROR(INDEX(GOOGLEFINANCE(""NSE:""&amp;C117,""open"",DATE(2026,1,1)),2,2),""N/A"")"),1053.8)</f>
        <v>1053.8</v>
      </c>
      <c r="F117" s="4">
        <f>IFERROR(__xludf.DUMMYFUNCTION("IFERROR(INDEX(GOOGLEFINANCE(""NSE:""&amp;C117,""open"",DATE(2026,4,1)),2,2),""N/A"")"),1131.0)</f>
        <v>1131</v>
      </c>
      <c r="G117" s="4">
        <f>IFERROR(__xludf.DUMMYFUNCTION("IFERROR(INDEX(GOOGLEFINANCE(""NSE:""&amp;C117,""open"",DATE(2026,5,2)),2,2),""N/A"")"),1245.0)</f>
        <v>1245</v>
      </c>
      <c r="H117" s="5">
        <f>IFERROR(__xludf.DUMMYFUNCTION("GOOGLEFINANCE(""NSE:""&amp;C117,""price"")"),1264.0)</f>
        <v>1264</v>
      </c>
      <c r="I117" s="5" t="str">
        <f t="shared" si="1"/>
        <v>🟢 +19.9%</v>
      </c>
      <c r="J117" s="5" t="str">
        <f t="shared" si="2"/>
        <v>🟢 +-10.5%</v>
      </c>
      <c r="K117" s="6" t="str">
        <f t="shared" si="3"/>
        <v>🟢 +-1.5%</v>
      </c>
    </row>
    <row r="118" ht="15.75" customHeight="1">
      <c r="A118" s="2">
        <v>117.0</v>
      </c>
      <c r="B118" s="2" t="s">
        <v>305</v>
      </c>
      <c r="C118" s="2" t="s">
        <v>306</v>
      </c>
      <c r="D118" s="2" t="s">
        <v>307</v>
      </c>
      <c r="E118" s="4">
        <f>IFERROR(__xludf.DUMMYFUNCTION("IFERROR(INDEX(GOOGLEFINANCE(""NSE:""&amp;C118,""open"",DATE(2026,1,1)),2,2),""N/A"")"),295.4)</f>
        <v>295.4</v>
      </c>
      <c r="F118" s="4">
        <f>IFERROR(__xludf.DUMMYFUNCTION("IFERROR(INDEX(GOOGLEFINANCE(""NSE:""&amp;C118,""open"",DATE(2026,4,1)),2,2),""N/A"")"),233.04)</f>
        <v>233.04</v>
      </c>
      <c r="G118" s="4">
        <f>IFERROR(__xludf.DUMMYFUNCTION("IFERROR(INDEX(GOOGLEFINANCE(""NSE:""&amp;C118,""open"",DATE(2026,5,2)),2,2),""N/A"")"),248.0)</f>
        <v>248</v>
      </c>
      <c r="H118" s="5">
        <f>IFERROR(__xludf.DUMMYFUNCTION("GOOGLEFINANCE(""NSE:""&amp;C118,""price"")"),249.0)</f>
        <v>249</v>
      </c>
      <c r="I118" s="5" t="str">
        <f t="shared" si="1"/>
        <v>🔴 -15.7%</v>
      </c>
      <c r="J118" s="5" t="str">
        <f t="shared" si="2"/>
        <v>🟢 +-6.4%</v>
      </c>
      <c r="K118" s="6" t="str">
        <f t="shared" si="3"/>
        <v>🟢 +-0.4%</v>
      </c>
    </row>
    <row r="119" ht="15.75" customHeight="1">
      <c r="A119" s="2">
        <v>118.0</v>
      </c>
      <c r="B119" s="2" t="s">
        <v>308</v>
      </c>
      <c r="C119" s="2" t="s">
        <v>309</v>
      </c>
      <c r="D119" s="2" t="s">
        <v>310</v>
      </c>
      <c r="E119" s="4">
        <f>IFERROR(__xludf.DUMMYFUNCTION("IFERROR(INDEX(GOOGLEFINANCE(""NSE:""&amp;C119,""open"",DATE(2026,1,1)),2,2),""N/A"")"),5531.0)</f>
        <v>5531</v>
      </c>
      <c r="F119" s="4">
        <f>IFERROR(__xludf.DUMMYFUNCTION("IFERROR(INDEX(GOOGLEFINANCE(""NSE:""&amp;C119,""open"",DATE(2026,4,1)),2,2),""N/A"")"),5220.0)</f>
        <v>5220</v>
      </c>
      <c r="G119" s="4">
        <f>IFERROR(__xludf.DUMMYFUNCTION("IFERROR(INDEX(GOOGLEFINANCE(""NSE:""&amp;C119,""open"",DATE(2026,5,2)),2,2),""N/A"")"),5373.5)</f>
        <v>5373.5</v>
      </c>
      <c r="H119" s="5">
        <f>IFERROR(__xludf.DUMMYFUNCTION("GOOGLEFINANCE(""NSE:""&amp;C119,""price"")"),5278.0)</f>
        <v>5278</v>
      </c>
      <c r="I119" s="5" t="str">
        <f t="shared" si="1"/>
        <v>🔴 -4.6%</v>
      </c>
      <c r="J119" s="5" t="str">
        <f t="shared" si="2"/>
        <v>🟢 +-1.1%</v>
      </c>
      <c r="K119" s="6" t="str">
        <f t="shared" si="3"/>
        <v>🔴 1.8%</v>
      </c>
    </row>
    <row r="120" ht="15.75" customHeight="1">
      <c r="A120" s="2">
        <v>119.0</v>
      </c>
      <c r="B120" s="2" t="s">
        <v>311</v>
      </c>
      <c r="C120" s="2" t="s">
        <v>312</v>
      </c>
      <c r="D120" s="2" t="s">
        <v>313</v>
      </c>
      <c r="E120" s="4">
        <f>IFERROR(__xludf.DUMMYFUNCTION("IFERROR(INDEX(GOOGLEFINANCE(""NSE:""&amp;C120,""open"",DATE(2026,1,1)),2,2),""N/A"")"),558.6)</f>
        <v>558.6</v>
      </c>
      <c r="F120" s="4">
        <f>IFERROR(__xludf.DUMMYFUNCTION("IFERROR(INDEX(GOOGLEFINANCE(""NSE:""&amp;C120,""open"",DATE(2026,4,1)),2,2),""N/A"")"),448.05)</f>
        <v>448.05</v>
      </c>
      <c r="G120" s="4">
        <f>IFERROR(__xludf.DUMMYFUNCTION("IFERROR(INDEX(GOOGLEFINANCE(""NSE:""&amp;C120,""open"",DATE(2026,5,2)),2,2),""N/A"")"),481.4)</f>
        <v>481.4</v>
      </c>
      <c r="H120" s="5">
        <f>IFERROR(__xludf.DUMMYFUNCTION("GOOGLEFINANCE(""NSE:""&amp;C120,""price"")"),464.8)</f>
        <v>464.8</v>
      </c>
      <c r="I120" s="5" t="str">
        <f t="shared" si="1"/>
        <v>🔴 -16.8%</v>
      </c>
      <c r="J120" s="5" t="str">
        <f t="shared" si="2"/>
        <v>🟢 +-3.6%</v>
      </c>
      <c r="K120" s="6" t="str">
        <f t="shared" si="3"/>
        <v>🔴 3.6%</v>
      </c>
    </row>
    <row r="121" ht="15.75" customHeight="1">
      <c r="A121" s="2">
        <v>120.0</v>
      </c>
      <c r="B121" s="2" t="s">
        <v>314</v>
      </c>
      <c r="C121" s="2" t="s">
        <v>315</v>
      </c>
      <c r="D121" s="2" t="s">
        <v>207</v>
      </c>
      <c r="E121" s="4">
        <f>IFERROR(__xludf.DUMMYFUNCTION("IFERROR(INDEX(GOOGLEFINANCE(""NSE:""&amp;C121,""open"",DATE(2026,1,1)),2,2),""N/A"")"),484.0)</f>
        <v>484</v>
      </c>
      <c r="F121" s="4">
        <f>IFERROR(__xludf.DUMMYFUNCTION("IFERROR(INDEX(GOOGLEFINANCE(""NSE:""&amp;C121,""open"",DATE(2026,4,1)),2,2),""N/A"")"),477.5)</f>
        <v>477.5</v>
      </c>
      <c r="G121" s="4">
        <f>IFERROR(__xludf.DUMMYFUNCTION("IFERROR(INDEX(GOOGLEFINANCE(""NSE:""&amp;C121,""open"",DATE(2026,5,2)),2,2),""N/A"")"),565.05)</f>
        <v>565.05</v>
      </c>
      <c r="H121" s="5">
        <f>IFERROR(__xludf.DUMMYFUNCTION("GOOGLEFINANCE(""NSE:""&amp;C121,""price"")"),562.0)</f>
        <v>562</v>
      </c>
      <c r="I121" s="5" t="str">
        <f t="shared" si="1"/>
        <v>🟢 +16.1%</v>
      </c>
      <c r="J121" s="5" t="str">
        <f t="shared" si="2"/>
        <v>🟢 +-15.0%</v>
      </c>
      <c r="K121" s="6" t="str">
        <f t="shared" si="3"/>
        <v>🔴 0.5%</v>
      </c>
    </row>
    <row r="122" ht="15.75" customHeight="1">
      <c r="A122" s="2">
        <v>121.0</v>
      </c>
      <c r="B122" s="2" t="s">
        <v>316</v>
      </c>
      <c r="C122" s="2" t="s">
        <v>317</v>
      </c>
      <c r="D122" s="2" t="s">
        <v>318</v>
      </c>
      <c r="E122" s="4">
        <f>IFERROR(__xludf.DUMMYFUNCTION("IFERROR(INDEX(GOOGLEFINANCE(""NSE:""&amp;C122,""open"",DATE(2026,1,1)),2,2),""N/A"")"),1163.5)</f>
        <v>1163.5</v>
      </c>
      <c r="F122" s="4">
        <f>IFERROR(__xludf.DUMMYFUNCTION("IFERROR(INDEX(GOOGLEFINANCE(""NSE:""&amp;C122,""open"",DATE(2026,4,1)),2,2),""N/A"")"),1141.9)</f>
        <v>1141.9</v>
      </c>
      <c r="G122" s="4">
        <f>IFERROR(__xludf.DUMMYFUNCTION("IFERROR(INDEX(GOOGLEFINANCE(""NSE:""&amp;C122,""open"",DATE(2026,5,2)),2,2),""N/A"")"),1278.0)</f>
        <v>1278</v>
      </c>
      <c r="H122" s="5">
        <f>IFERROR(__xludf.DUMMYFUNCTION("GOOGLEFINANCE(""NSE:""&amp;C122,""price"")"),1252.0)</f>
        <v>1252</v>
      </c>
      <c r="I122" s="5" t="str">
        <f t="shared" si="1"/>
        <v>🟢 +7.6%</v>
      </c>
      <c r="J122" s="5" t="str">
        <f t="shared" si="2"/>
        <v>🟢 +-8.8%</v>
      </c>
      <c r="K122" s="6" t="str">
        <f t="shared" si="3"/>
        <v>🔴 2.1%</v>
      </c>
    </row>
    <row r="123" ht="15.75" customHeight="1">
      <c r="A123" s="2">
        <v>122.0</v>
      </c>
      <c r="B123" s="2" t="s">
        <v>319</v>
      </c>
      <c r="C123" s="2" t="s">
        <v>320</v>
      </c>
      <c r="D123" s="2" t="s">
        <v>321</v>
      </c>
      <c r="E123" s="4">
        <f>IFERROR(__xludf.DUMMYFUNCTION("IFERROR(INDEX(GOOGLEFINANCE(""NSE:""&amp;C123,""open"",DATE(2026,1,1)),2,2),""N/A"")"),486.9)</f>
        <v>486.9</v>
      </c>
      <c r="F123" s="4">
        <f>IFERROR(__xludf.DUMMYFUNCTION("IFERROR(INDEX(GOOGLEFINANCE(""NSE:""&amp;C123,""open"",DATE(2026,4,1)),2,2),""N/A"")"),385.6)</f>
        <v>385.6</v>
      </c>
      <c r="G123" s="4">
        <f>IFERROR(__xludf.DUMMYFUNCTION("IFERROR(INDEX(GOOGLEFINANCE(""NSE:""&amp;C123,""open"",DATE(2026,5,2)),2,2),""N/A"")"),414.0)</f>
        <v>414</v>
      </c>
      <c r="H123" s="5">
        <f>IFERROR(__xludf.DUMMYFUNCTION("GOOGLEFINANCE(""NSE:""&amp;C123,""price"")"),407.55)</f>
        <v>407.55</v>
      </c>
      <c r="I123" s="5" t="str">
        <f t="shared" si="1"/>
        <v>🔴 -16.3%</v>
      </c>
      <c r="J123" s="5" t="str">
        <f t="shared" si="2"/>
        <v>🟢 +-5.4%</v>
      </c>
      <c r="K123" s="6" t="str">
        <f t="shared" si="3"/>
        <v>🔴 1.6%</v>
      </c>
    </row>
    <row r="124" ht="15.75" customHeight="1">
      <c r="A124" s="2">
        <v>123.0</v>
      </c>
      <c r="B124" s="2" t="s">
        <v>322</v>
      </c>
      <c r="C124" s="2" t="s">
        <v>323</v>
      </c>
      <c r="D124" s="2" t="s">
        <v>324</v>
      </c>
      <c r="E124" s="4">
        <f>IFERROR(__xludf.DUMMYFUNCTION("IFERROR(INDEX(GOOGLEFINANCE(""NSE:""&amp;C124,""open"",DATE(2026,1,1)),2,2),""N/A"")"),1083.0)</f>
        <v>1083</v>
      </c>
      <c r="F124" s="4">
        <f>IFERROR(__xludf.DUMMYFUNCTION("IFERROR(INDEX(GOOGLEFINANCE(""NSE:""&amp;C124,""open"",DATE(2026,4,1)),2,2),""N/A"")"),914.0)</f>
        <v>914</v>
      </c>
      <c r="G124" s="4">
        <f>IFERROR(__xludf.DUMMYFUNCTION("IFERROR(INDEX(GOOGLEFINANCE(""NSE:""&amp;C124,""open"",DATE(2026,5,2)),2,2),""N/A"")"),902.5)</f>
        <v>902.5</v>
      </c>
      <c r="H124" s="5">
        <f>IFERROR(__xludf.DUMMYFUNCTION("GOOGLEFINANCE(""NSE:""&amp;C124,""price"")"),893.75)</f>
        <v>893.75</v>
      </c>
      <c r="I124" s="5" t="str">
        <f t="shared" si="1"/>
        <v>🔴 -17.5%</v>
      </c>
      <c r="J124" s="5" t="str">
        <f t="shared" si="2"/>
        <v>🔴 2.3%</v>
      </c>
      <c r="K124" s="6" t="str">
        <f t="shared" si="3"/>
        <v>🔴 1.0%</v>
      </c>
    </row>
    <row r="125" ht="15.75" customHeight="1">
      <c r="A125" s="2">
        <v>124.0</v>
      </c>
      <c r="B125" s="2" t="s">
        <v>325</v>
      </c>
      <c r="C125" s="2" t="s">
        <v>326</v>
      </c>
      <c r="D125" s="2" t="s">
        <v>327</v>
      </c>
      <c r="E125" s="4">
        <f>IFERROR(__xludf.DUMMYFUNCTION("IFERROR(INDEX(GOOGLEFINANCE(""NSE:""&amp;C125,""open"",DATE(2026,1,1)),2,2),""N/A"")"),442.0)</f>
        <v>442</v>
      </c>
      <c r="F125" s="4">
        <f>IFERROR(__xludf.DUMMYFUNCTION("IFERROR(INDEX(GOOGLEFINANCE(""NSE:""&amp;C125,""open"",DATE(2026,4,1)),2,2),""N/A"")"),363.8)</f>
        <v>363.8</v>
      </c>
      <c r="G125" s="4">
        <f>IFERROR(__xludf.DUMMYFUNCTION("IFERROR(INDEX(GOOGLEFINANCE(""NSE:""&amp;C125,""open"",DATE(2026,5,2)),2,2),""N/A"")"),378.9)</f>
        <v>378.9</v>
      </c>
      <c r="H125" s="5">
        <f>IFERROR(__xludf.DUMMYFUNCTION("GOOGLEFINANCE(""NSE:""&amp;C125,""price"")"),371.6)</f>
        <v>371.6</v>
      </c>
      <c r="I125" s="5" t="str">
        <f t="shared" si="1"/>
        <v>🔴 -15.9%</v>
      </c>
      <c r="J125" s="5" t="str">
        <f t="shared" si="2"/>
        <v>🟢 +-2.1%</v>
      </c>
      <c r="K125" s="6" t="str">
        <f t="shared" si="3"/>
        <v>🔴 2.0%</v>
      </c>
    </row>
    <row r="126" ht="15.75" customHeight="1">
      <c r="A126" s="2">
        <v>125.0</v>
      </c>
      <c r="B126" s="2" t="s">
        <v>328</v>
      </c>
      <c r="C126" s="2" t="s">
        <v>329</v>
      </c>
      <c r="D126" s="2" t="s">
        <v>330</v>
      </c>
      <c r="E126" s="4">
        <f>IFERROR(__xludf.DUMMYFUNCTION("IFERROR(INDEX(GOOGLEFINANCE(""NSE:""&amp;C126,""open"",DATE(2026,1,1)),2,2),""N/A"")"),1178.0)</f>
        <v>1178</v>
      </c>
      <c r="F126" s="4">
        <f>IFERROR(__xludf.DUMMYFUNCTION("IFERROR(INDEX(GOOGLEFINANCE(""NSE:""&amp;C126,""open"",DATE(2026,4,1)),2,2),""N/A"")"),650.7)</f>
        <v>650.7</v>
      </c>
      <c r="G126" s="4">
        <f>IFERROR(__xludf.DUMMYFUNCTION("IFERROR(INDEX(GOOGLEFINANCE(""NSE:""&amp;C126,""open"",DATE(2026,5,2)),2,2),""N/A"")"),767.0)</f>
        <v>767</v>
      </c>
      <c r="H126" s="5">
        <f>IFERROR(__xludf.DUMMYFUNCTION("GOOGLEFINANCE(""NSE:""&amp;C126,""price"")"),773.4)</f>
        <v>773.4</v>
      </c>
      <c r="I126" s="5" t="str">
        <f t="shared" si="1"/>
        <v>🔴 -34.3%</v>
      </c>
      <c r="J126" s="5" t="str">
        <f t="shared" si="2"/>
        <v>🟢 +-15.9%</v>
      </c>
      <c r="K126" s="6" t="str">
        <f t="shared" si="3"/>
        <v>🟢 +-0.8%</v>
      </c>
    </row>
    <row r="127" ht="15.75" customHeight="1">
      <c r="A127" s="2">
        <v>126.0</v>
      </c>
      <c r="B127" s="2" t="s">
        <v>331</v>
      </c>
      <c r="C127" s="2" t="s">
        <v>332</v>
      </c>
      <c r="D127" s="2" t="s">
        <v>168</v>
      </c>
      <c r="E127" s="4">
        <f>IFERROR(__xludf.DUMMYFUNCTION("IFERROR(INDEX(GOOGLEFINANCE(""NSE:""&amp;C127,""open"",DATE(2026,1,1)),2,2),""N/A"")"),855.0)</f>
        <v>855</v>
      </c>
      <c r="F127" s="4">
        <f>IFERROR(__xludf.DUMMYFUNCTION("IFERROR(INDEX(GOOGLEFINANCE(""NSE:""&amp;C127,""open"",DATE(2026,4,1)),2,2),""N/A"")"),745.0)</f>
        <v>745</v>
      </c>
      <c r="G127" s="4">
        <f>IFERROR(__xludf.DUMMYFUNCTION("IFERROR(INDEX(GOOGLEFINANCE(""NSE:""&amp;C127,""open"",DATE(2026,5,2)),2,2),""N/A"")"),805.5)</f>
        <v>805.5</v>
      </c>
      <c r="H127" s="5">
        <f>IFERROR(__xludf.DUMMYFUNCTION("GOOGLEFINANCE(""NSE:""&amp;C127,""price"")"),800.8)</f>
        <v>800.8</v>
      </c>
      <c r="I127" s="5" t="str">
        <f t="shared" si="1"/>
        <v>🔴 -6.3%</v>
      </c>
      <c r="J127" s="5" t="str">
        <f t="shared" si="2"/>
        <v>🟢 +-7.0%</v>
      </c>
      <c r="K127" s="6" t="str">
        <f t="shared" si="3"/>
        <v>🔴 0.6%</v>
      </c>
    </row>
    <row r="128" ht="15.75" customHeight="1">
      <c r="A128" s="2">
        <v>127.0</v>
      </c>
      <c r="B128" s="2" t="s">
        <v>333</v>
      </c>
      <c r="C128" s="2" t="s">
        <v>334</v>
      </c>
      <c r="D128" s="2" t="s">
        <v>50</v>
      </c>
      <c r="E128" s="4">
        <f>IFERROR(__xludf.DUMMYFUNCTION("IFERROR(INDEX(GOOGLEFINANCE(""NSE:""&amp;C128,""open"",DATE(2026,1,1)),2,2),""N/A"")"),539.65)</f>
        <v>539.65</v>
      </c>
      <c r="F128" s="4">
        <f>IFERROR(__xludf.DUMMYFUNCTION("IFERROR(INDEX(GOOGLEFINANCE(""NSE:""&amp;C128,""open"",DATE(2026,4,1)),2,2),""N/A"")"),511.0)</f>
        <v>511</v>
      </c>
      <c r="G128" s="4">
        <f>IFERROR(__xludf.DUMMYFUNCTION("IFERROR(INDEX(GOOGLEFINANCE(""NSE:""&amp;C128,""open"",DATE(2026,5,2)),2,2),""N/A"")"),555.2)</f>
        <v>555.2</v>
      </c>
      <c r="H128" s="5">
        <f>IFERROR(__xludf.DUMMYFUNCTION("GOOGLEFINANCE(""NSE:""&amp;C128,""price"")"),557.15)</f>
        <v>557.15</v>
      </c>
      <c r="I128" s="5" t="str">
        <f t="shared" si="1"/>
        <v>🟢 +3.2%</v>
      </c>
      <c r="J128" s="5" t="str">
        <f t="shared" si="2"/>
        <v>🟢 +-8.3%</v>
      </c>
      <c r="K128" s="6" t="str">
        <f t="shared" si="3"/>
        <v>🟢 +-0.3%</v>
      </c>
    </row>
    <row r="129" ht="15.75" customHeight="1">
      <c r="A129" s="2">
        <v>128.0</v>
      </c>
      <c r="B129" s="2" t="s">
        <v>335</v>
      </c>
      <c r="C129" s="2" t="s">
        <v>336</v>
      </c>
      <c r="D129" s="2" t="s">
        <v>16</v>
      </c>
      <c r="E129" s="4">
        <f>IFERROR(__xludf.DUMMYFUNCTION("IFERROR(INDEX(GOOGLEFINANCE(""NSE:""&amp;C129,""open"",DATE(2026,1,1)),2,2),""N/A"")"),4090.0)</f>
        <v>4090</v>
      </c>
      <c r="F129" s="4">
        <f>IFERROR(__xludf.DUMMYFUNCTION("IFERROR(INDEX(GOOGLEFINANCE(""NSE:""&amp;C129,""open"",DATE(2026,4,1)),2,2),""N/A"")"),3655.0)</f>
        <v>3655</v>
      </c>
      <c r="G129" s="4">
        <f>IFERROR(__xludf.DUMMYFUNCTION("IFERROR(INDEX(GOOGLEFINANCE(""NSE:""&amp;C129,""open"",DATE(2026,5,2)),2,2),""N/A"")"),4026.0)</f>
        <v>4026</v>
      </c>
      <c r="H129" s="5">
        <f>IFERROR(__xludf.DUMMYFUNCTION("GOOGLEFINANCE(""NSE:""&amp;C129,""price"")"),4075.0)</f>
        <v>4075</v>
      </c>
      <c r="I129" s="5" t="str">
        <f t="shared" si="1"/>
        <v>🔴 -0.4%</v>
      </c>
      <c r="J129" s="5" t="str">
        <f t="shared" si="2"/>
        <v>🟢 +-10.3%</v>
      </c>
      <c r="K129" s="6" t="str">
        <f t="shared" si="3"/>
        <v>🟢 +-1.2%</v>
      </c>
    </row>
    <row r="130" ht="15.75" customHeight="1">
      <c r="A130" s="2">
        <v>129.0</v>
      </c>
      <c r="B130" s="2" t="s">
        <v>337</v>
      </c>
      <c r="C130" s="2" t="s">
        <v>338</v>
      </c>
      <c r="D130" s="2" t="s">
        <v>339</v>
      </c>
      <c r="E130" s="4">
        <f>IFERROR(__xludf.DUMMYFUNCTION("IFERROR(INDEX(GOOGLEFINANCE(""NSE:""&amp;C130,""open"",DATE(2026,1,1)),2,2),""N/A"")"),1108.0)</f>
        <v>1108</v>
      </c>
      <c r="F130" s="4">
        <f>IFERROR(__xludf.DUMMYFUNCTION("IFERROR(INDEX(GOOGLEFINANCE(""NSE:""&amp;C130,""open"",DATE(2026,4,1)),2,2),""N/A"")"),1020.1)</f>
        <v>1020.1</v>
      </c>
      <c r="G130" s="4">
        <f>IFERROR(__xludf.DUMMYFUNCTION("IFERROR(INDEX(GOOGLEFINANCE(""NSE:""&amp;C130,""open"",DATE(2026,5,2)),2,2),""N/A"")"),1102.2)</f>
        <v>1102.2</v>
      </c>
      <c r="H130" s="5">
        <f>IFERROR(__xludf.DUMMYFUNCTION("GOOGLEFINANCE(""NSE:""&amp;C130,""price"")"),1162.9)</f>
        <v>1162.9</v>
      </c>
      <c r="I130" s="5" t="str">
        <f t="shared" si="1"/>
        <v>🟢 +5.0%</v>
      </c>
      <c r="J130" s="5" t="str">
        <f t="shared" si="2"/>
        <v>🟢 +-12.3%</v>
      </c>
      <c r="K130" s="6" t="str">
        <f t="shared" si="3"/>
        <v>🟢 +-5.2%</v>
      </c>
    </row>
    <row r="131" ht="15.75" customHeight="1">
      <c r="A131" s="2">
        <v>130.0</v>
      </c>
      <c r="B131" s="2" t="s">
        <v>340</v>
      </c>
      <c r="C131" s="2" t="s">
        <v>341</v>
      </c>
      <c r="D131" s="2" t="s">
        <v>50</v>
      </c>
      <c r="E131" s="4">
        <f>IFERROR(__xludf.DUMMYFUNCTION("IFERROR(INDEX(GOOGLEFINANCE(""NSE:""&amp;C131,""open"",DATE(2026,1,1)),2,2),""N/A"")"),1322.5)</f>
        <v>1322.5</v>
      </c>
      <c r="F131" s="4">
        <f>IFERROR(__xludf.DUMMYFUNCTION("IFERROR(INDEX(GOOGLEFINANCE(""NSE:""&amp;C131,""open"",DATE(2026,4,1)),2,2),""N/A"")"),1315.1)</f>
        <v>1315.1</v>
      </c>
      <c r="G131" s="4">
        <f>IFERROR(__xludf.DUMMYFUNCTION("IFERROR(INDEX(GOOGLEFINANCE(""NSE:""&amp;C131,""open"",DATE(2026,5,2)),2,2),""N/A"")"),1780.0)</f>
        <v>1780</v>
      </c>
      <c r="H131" s="5">
        <f>IFERROR(__xludf.DUMMYFUNCTION("GOOGLEFINANCE(""NSE:""&amp;C131,""price"")"),1772.0)</f>
        <v>1772</v>
      </c>
      <c r="I131" s="5" t="str">
        <f t="shared" si="1"/>
        <v>🟢 +34.0%</v>
      </c>
      <c r="J131" s="5" t="str">
        <f t="shared" si="2"/>
        <v>🟢 +-25.8%</v>
      </c>
      <c r="K131" s="6" t="str">
        <f t="shared" si="3"/>
        <v>🔴 0.5%</v>
      </c>
    </row>
    <row r="132" ht="15.75" customHeight="1">
      <c r="A132" s="2">
        <v>131.0</v>
      </c>
      <c r="B132" s="2" t="s">
        <v>342</v>
      </c>
      <c r="C132" s="2" t="s">
        <v>343</v>
      </c>
      <c r="D132" s="2" t="s">
        <v>344</v>
      </c>
      <c r="E132" s="4" t="str">
        <f>IFERROR(__xludf.DUMMYFUNCTION("IFERROR(INDEX(GOOGLEFINANCE(""NSE:""&amp;C132,""open"",DATE(2026,1,1)),2,2),""N/A"")"),"N/A")</f>
        <v>N/A</v>
      </c>
      <c r="F132" s="4" t="str">
        <f>IFERROR(__xludf.DUMMYFUNCTION("IFERROR(INDEX(GOOGLEFINANCE(""NSE:""&amp;C132,""open"",DATE(2026,4,1)),2,2),""N/A"")"),"N/A")</f>
        <v>N/A</v>
      </c>
      <c r="G132" s="4" t="str">
        <f>IFERROR(__xludf.DUMMYFUNCTION("IFERROR(INDEX(GOOGLEFINANCE(""NSE:""&amp;C132,""open"",DATE(2026,5,2)),2,2),""N/A"")"),"N/A")</f>
        <v>N/A</v>
      </c>
      <c r="H132" s="5" t="str">
        <f>IFERROR(__xludf.DUMMYFUNCTION("GOOGLEFINANCE(""NSE:""&amp;C132,""price"")"),"#N/A")</f>
        <v>#N/A</v>
      </c>
      <c r="I132" s="5" t="str">
        <f t="shared" si="1"/>
        <v>#N/A</v>
      </c>
      <c r="J132" s="5" t="str">
        <f t="shared" si="2"/>
        <v>#N/A</v>
      </c>
      <c r="K132" s="6" t="str">
        <f t="shared" si="3"/>
        <v>#N/A</v>
      </c>
    </row>
    <row r="133" ht="15.75" customHeight="1">
      <c r="A133" s="2">
        <v>132.0</v>
      </c>
      <c r="B133" s="2" t="s">
        <v>345</v>
      </c>
      <c r="C133" s="2" t="s">
        <v>346</v>
      </c>
      <c r="D133" s="2" t="s">
        <v>99</v>
      </c>
      <c r="E133" s="4">
        <f>IFERROR(__xludf.DUMMYFUNCTION("IFERROR(INDEX(GOOGLEFINANCE(""NSE:""&amp;C133,""open"",DATE(2026,1,1)),2,2),""N/A"")"),2114.0)</f>
        <v>2114</v>
      </c>
      <c r="F133" s="4">
        <f>IFERROR(__xludf.DUMMYFUNCTION("IFERROR(INDEX(GOOGLEFINANCE(""NSE:""&amp;C133,""open"",DATE(2026,4,1)),2,2),""N/A"")"),2346.0)</f>
        <v>2346</v>
      </c>
      <c r="G133" s="4">
        <f>IFERROR(__xludf.DUMMYFUNCTION("IFERROR(INDEX(GOOGLEFINANCE(""NSE:""&amp;C133,""open"",DATE(2026,5,2)),2,2),""N/A"")"),2320.0)</f>
        <v>2320</v>
      </c>
      <c r="H133" s="5">
        <f>IFERROR(__xludf.DUMMYFUNCTION("GOOGLEFINANCE(""NSE:""&amp;C133,""price"")"),2337.2)</f>
        <v>2337.2</v>
      </c>
      <c r="I133" s="5" t="str">
        <f t="shared" si="1"/>
        <v>🟢 +10.6%</v>
      </c>
      <c r="J133" s="5" t="str">
        <f t="shared" si="2"/>
        <v>🔴 0.4%</v>
      </c>
      <c r="K133" s="6" t="str">
        <f t="shared" si="3"/>
        <v>🟢 +-0.7%</v>
      </c>
    </row>
    <row r="134" ht="15.75" customHeight="1">
      <c r="A134" s="2">
        <v>133.0</v>
      </c>
      <c r="B134" s="2" t="s">
        <v>347</v>
      </c>
      <c r="C134" s="2" t="s">
        <v>348</v>
      </c>
      <c r="D134" s="2" t="s">
        <v>349</v>
      </c>
      <c r="E134" s="4">
        <f>IFERROR(__xludf.DUMMYFUNCTION("IFERROR(INDEX(GOOGLEFINANCE(""NSE:""&amp;C134,""open"",DATE(2026,1,1)),2,2),""N/A"")"),402.5)</f>
        <v>402.5</v>
      </c>
      <c r="F134" s="4">
        <f>IFERROR(__xludf.DUMMYFUNCTION("IFERROR(INDEX(GOOGLEFINANCE(""NSE:""&amp;C134,""open"",DATE(2026,4,1)),2,2),""N/A"")"),291.15)</f>
        <v>291.15</v>
      </c>
      <c r="G134" s="4">
        <f>IFERROR(__xludf.DUMMYFUNCTION("IFERROR(INDEX(GOOGLEFINANCE(""NSE:""&amp;C134,""open"",DATE(2026,5,2)),2,2),""N/A"")"),314.95)</f>
        <v>314.95</v>
      </c>
      <c r="H134" s="5">
        <f>IFERROR(__xludf.DUMMYFUNCTION("GOOGLEFINANCE(""NSE:""&amp;C134,""price"")"),305.9)</f>
        <v>305.9</v>
      </c>
      <c r="I134" s="5" t="str">
        <f t="shared" si="1"/>
        <v>🔴 -24.0%</v>
      </c>
      <c r="J134" s="5" t="str">
        <f t="shared" si="2"/>
        <v>🟢 +-4.8%</v>
      </c>
      <c r="K134" s="6" t="str">
        <f t="shared" si="3"/>
        <v>🔴 3.0%</v>
      </c>
    </row>
    <row r="135" ht="15.75" customHeight="1">
      <c r="A135" s="2">
        <v>134.0</v>
      </c>
      <c r="B135" s="2" t="s">
        <v>350</v>
      </c>
      <c r="C135" s="2" t="s">
        <v>351</v>
      </c>
      <c r="D135" s="2" t="s">
        <v>352</v>
      </c>
      <c r="E135" s="4">
        <f>IFERROR(__xludf.DUMMYFUNCTION("IFERROR(INDEX(GOOGLEFINANCE(""NSE:""&amp;C135,""open"",DATE(2026,1,1)),2,2),""N/A"")"),1136.2)</f>
        <v>1136.2</v>
      </c>
      <c r="F135" s="4">
        <f>IFERROR(__xludf.DUMMYFUNCTION("IFERROR(INDEX(GOOGLEFINANCE(""NSE:""&amp;C135,""open"",DATE(2026,4,1)),2,2),""N/A"")"),937.5)</f>
        <v>937.5</v>
      </c>
      <c r="G135" s="4">
        <f>IFERROR(__xludf.DUMMYFUNCTION("IFERROR(INDEX(GOOGLEFINANCE(""NSE:""&amp;C135,""open"",DATE(2026,5,2)),2,2),""N/A"")"),1146.4)</f>
        <v>1146.4</v>
      </c>
      <c r="H135" s="5">
        <f>IFERROR(__xludf.DUMMYFUNCTION("GOOGLEFINANCE(""NSE:""&amp;C135,""price"")"),1133.0)</f>
        <v>1133</v>
      </c>
      <c r="I135" s="5" t="str">
        <f t="shared" si="1"/>
        <v>🔴 -0.3%</v>
      </c>
      <c r="J135" s="5" t="str">
        <f t="shared" si="2"/>
        <v>🟢 +-17.3%</v>
      </c>
      <c r="K135" s="6" t="str">
        <f t="shared" si="3"/>
        <v>🔴 1.2%</v>
      </c>
    </row>
    <row r="136" ht="15.75" customHeight="1">
      <c r="A136" s="2">
        <v>135.0</v>
      </c>
      <c r="B136" s="2" t="s">
        <v>353</v>
      </c>
      <c r="C136" s="2" t="s">
        <v>354</v>
      </c>
      <c r="D136" s="2" t="s">
        <v>355</v>
      </c>
      <c r="E136" s="4">
        <f>IFERROR(__xludf.DUMMYFUNCTION("IFERROR(INDEX(GOOGLEFINANCE(""NSE:""&amp;C136,""open"",DATE(2026,1,1)),2,2),""N/A"")"),3725.0)</f>
        <v>3725</v>
      </c>
      <c r="F136" s="4">
        <f>IFERROR(__xludf.DUMMYFUNCTION("IFERROR(INDEX(GOOGLEFINANCE(""NSE:""&amp;C136,""open"",DATE(2026,4,1)),2,2),""N/A"")"),3079.9)</f>
        <v>3079.9</v>
      </c>
      <c r="G136" s="4">
        <f>IFERROR(__xludf.DUMMYFUNCTION("IFERROR(INDEX(GOOGLEFINANCE(""NSE:""&amp;C136,""open"",DATE(2026,5,2)),2,2),""N/A"")"),3131.5)</f>
        <v>3131.5</v>
      </c>
      <c r="H136" s="5">
        <f>IFERROR(__xludf.DUMMYFUNCTION("GOOGLEFINANCE(""NSE:""&amp;C136,""price"")"),3220.8)</f>
        <v>3220.8</v>
      </c>
      <c r="I136" s="5" t="str">
        <f t="shared" si="1"/>
        <v>🔴 -13.5%</v>
      </c>
      <c r="J136" s="5" t="str">
        <f t="shared" si="2"/>
        <v>🟢 +-4.4%</v>
      </c>
      <c r="K136" s="6" t="str">
        <f t="shared" si="3"/>
        <v>🟢 +-2.8%</v>
      </c>
    </row>
    <row r="137" ht="15.75" customHeight="1">
      <c r="A137" s="2">
        <v>136.0</v>
      </c>
      <c r="B137" s="2" t="s">
        <v>356</v>
      </c>
      <c r="C137" s="2" t="s">
        <v>357</v>
      </c>
      <c r="D137" s="2" t="s">
        <v>50</v>
      </c>
      <c r="E137" s="4">
        <f>IFERROR(__xludf.DUMMYFUNCTION("IFERROR(INDEX(GOOGLEFINANCE(""NSE:""&amp;C137,""open"",DATE(2026,1,1)),2,2),""N/A"")"),310.05)</f>
        <v>310.05</v>
      </c>
      <c r="F137" s="4">
        <f>IFERROR(__xludf.DUMMYFUNCTION("IFERROR(INDEX(GOOGLEFINANCE(""NSE:""&amp;C137,""open"",DATE(2026,4,1)),2,2),""N/A"")"),260.45)</f>
        <v>260.45</v>
      </c>
      <c r="G137" s="4">
        <f>IFERROR(__xludf.DUMMYFUNCTION("IFERROR(INDEX(GOOGLEFINANCE(""NSE:""&amp;C137,""open"",DATE(2026,5,2)),2,2),""N/A"")"),298.0)</f>
        <v>298</v>
      </c>
      <c r="H137" s="5">
        <f>IFERROR(__xludf.DUMMYFUNCTION("GOOGLEFINANCE(""NSE:""&amp;C137,""price"")"),308.75)</f>
        <v>308.75</v>
      </c>
      <c r="I137" s="5" t="str">
        <f t="shared" si="1"/>
        <v>🔴 -0.4%</v>
      </c>
      <c r="J137" s="5" t="str">
        <f t="shared" si="2"/>
        <v>🟢 +-15.6%</v>
      </c>
      <c r="K137" s="6" t="str">
        <f t="shared" si="3"/>
        <v>🟢 +-3.5%</v>
      </c>
    </row>
    <row r="138" ht="15.75" customHeight="1">
      <c r="A138" s="2">
        <v>137.0</v>
      </c>
      <c r="B138" s="2" t="s">
        <v>358</v>
      </c>
      <c r="C138" s="2" t="s">
        <v>359</v>
      </c>
      <c r="D138" s="2" t="s">
        <v>360</v>
      </c>
      <c r="E138" s="4">
        <f>IFERROR(__xludf.DUMMYFUNCTION("IFERROR(INDEX(GOOGLEFINANCE(""NSE:""&amp;C138,""open"",DATE(2026,1,1)),2,2),""N/A"")"),2202.0)</f>
        <v>2202</v>
      </c>
      <c r="F138" s="4">
        <f>IFERROR(__xludf.DUMMYFUNCTION("IFERROR(INDEX(GOOGLEFINANCE(""NSE:""&amp;C138,""open"",DATE(2026,4,1)),2,2),""N/A"")"),2016.0)</f>
        <v>2016</v>
      </c>
      <c r="G138" s="4">
        <f>IFERROR(__xludf.DUMMYFUNCTION("IFERROR(INDEX(GOOGLEFINANCE(""NSE:""&amp;C138,""open"",DATE(2026,5,2)),2,2),""N/A"")"),2249.2)</f>
        <v>2249.2</v>
      </c>
      <c r="H138" s="5">
        <f>IFERROR(__xludf.DUMMYFUNCTION("GOOGLEFINANCE(""NSE:""&amp;C138,""price"")"),2327.9)</f>
        <v>2327.9</v>
      </c>
      <c r="I138" s="5" t="str">
        <f t="shared" si="1"/>
        <v>🟢 +5.7%</v>
      </c>
      <c r="J138" s="5" t="str">
        <f t="shared" si="2"/>
        <v>🟢 +-13.4%</v>
      </c>
      <c r="K138" s="6" t="str">
        <f t="shared" si="3"/>
        <v>🟢 +-3.4%</v>
      </c>
    </row>
    <row r="139" ht="15.75" customHeight="1">
      <c r="A139" s="2">
        <v>138.0</v>
      </c>
      <c r="B139" s="2" t="s">
        <v>361</v>
      </c>
      <c r="C139" s="2" t="s">
        <v>362</v>
      </c>
      <c r="D139" s="2" t="s">
        <v>363</v>
      </c>
      <c r="E139" s="4">
        <f>IFERROR(__xludf.DUMMYFUNCTION("IFERROR(INDEX(GOOGLEFINANCE(""NSE:""&amp;C139,""open"",DATE(2026,1,1)),2,2),""N/A"")"),755.0)</f>
        <v>755</v>
      </c>
      <c r="F139" s="4">
        <f>IFERROR(__xludf.DUMMYFUNCTION("IFERROR(INDEX(GOOGLEFINANCE(""NSE:""&amp;C139,""open"",DATE(2026,4,1)),2,2),""N/A"")"),752.0)</f>
        <v>752</v>
      </c>
      <c r="G139" s="4">
        <f>IFERROR(__xludf.DUMMYFUNCTION("IFERROR(INDEX(GOOGLEFINANCE(""NSE:""&amp;C139,""open"",DATE(2026,5,2)),2,2),""N/A"")"),781.0)</f>
        <v>781</v>
      </c>
      <c r="H139" s="5">
        <f>IFERROR(__xludf.DUMMYFUNCTION("GOOGLEFINANCE(""NSE:""&amp;C139,""price"")"),810.0)</f>
        <v>810</v>
      </c>
      <c r="I139" s="5" t="str">
        <f t="shared" si="1"/>
        <v>🟢 +7.3%</v>
      </c>
      <c r="J139" s="5" t="str">
        <f t="shared" si="2"/>
        <v>🟢 +-7.2%</v>
      </c>
      <c r="K139" s="6" t="str">
        <f t="shared" si="3"/>
        <v>🟢 +-3.6%</v>
      </c>
    </row>
    <row r="140" ht="15.75" customHeight="1">
      <c r="A140" s="2">
        <v>139.0</v>
      </c>
      <c r="B140" s="2" t="s">
        <v>364</v>
      </c>
      <c r="C140" s="2" t="s">
        <v>365</v>
      </c>
      <c r="D140" s="2" t="s">
        <v>138</v>
      </c>
      <c r="E140" s="4">
        <f>IFERROR(__xludf.DUMMYFUNCTION("IFERROR(INDEX(GOOGLEFINANCE(""NSE:""&amp;C140,""open"",DATE(2026,1,1)),2,2),""N/A"")"),16700.0)</f>
        <v>16700</v>
      </c>
      <c r="F140" s="4">
        <f>IFERROR(__xludf.DUMMYFUNCTION("IFERROR(INDEX(GOOGLEFINANCE(""NSE:""&amp;C140,""open"",DATE(2026,4,1)),2,2),""N/A"")"),12900.0)</f>
        <v>12900</v>
      </c>
      <c r="G140" s="4">
        <f>IFERROR(__xludf.DUMMYFUNCTION("IFERROR(INDEX(GOOGLEFINANCE(""NSE:""&amp;C140,""open"",DATE(2026,5,2)),2,2),""N/A"")"),13559.0)</f>
        <v>13559</v>
      </c>
      <c r="H140" s="5">
        <f>IFERROR(__xludf.DUMMYFUNCTION("GOOGLEFINANCE(""NSE:""&amp;C140,""price"")"),13450.0)</f>
        <v>13450</v>
      </c>
      <c r="I140" s="5" t="str">
        <f t="shared" si="1"/>
        <v>🔴 -19.5%</v>
      </c>
      <c r="J140" s="5" t="str">
        <f t="shared" si="2"/>
        <v>🟢 +-4.1%</v>
      </c>
      <c r="K140" s="6" t="str">
        <f t="shared" si="3"/>
        <v>🔴 0.8%</v>
      </c>
    </row>
    <row r="141" ht="15.75" customHeight="1">
      <c r="A141" s="2">
        <v>140.0</v>
      </c>
      <c r="B141" s="2" t="s">
        <v>366</v>
      </c>
      <c r="C141" s="2" t="s">
        <v>367</v>
      </c>
      <c r="D141" s="2" t="s">
        <v>368</v>
      </c>
      <c r="E141" s="4">
        <f>IFERROR(__xludf.DUMMYFUNCTION("IFERROR(INDEX(GOOGLEFINANCE(""NSE:""&amp;C141,""open"",DATE(2026,1,1)),2,2),""N/A"")"),1677.5)</f>
        <v>1677.5</v>
      </c>
      <c r="F141" s="4">
        <f>IFERROR(__xludf.DUMMYFUNCTION("IFERROR(INDEX(GOOGLEFINANCE(""NSE:""&amp;C141,""open"",DATE(2026,4,1)),2,2),""N/A"")"),1515.1)</f>
        <v>1515.1</v>
      </c>
      <c r="G141" s="4">
        <f>IFERROR(__xludf.DUMMYFUNCTION("IFERROR(INDEX(GOOGLEFINANCE(""NSE:""&amp;C141,""open"",DATE(2026,5,2)),2,2),""N/A"")"),1593.2)</f>
        <v>1593.2</v>
      </c>
      <c r="H141" s="5">
        <f>IFERROR(__xludf.DUMMYFUNCTION("GOOGLEFINANCE(""NSE:""&amp;C141,""price"")"),1596.6)</f>
        <v>1596.6</v>
      </c>
      <c r="I141" s="5" t="str">
        <f t="shared" si="1"/>
        <v>🔴 -4.8%</v>
      </c>
      <c r="J141" s="5" t="str">
        <f t="shared" si="2"/>
        <v>🟢 +-5.1%</v>
      </c>
      <c r="K141" s="6" t="str">
        <f t="shared" si="3"/>
        <v>🟢 +-0.2%</v>
      </c>
    </row>
    <row r="142" ht="15.75" customHeight="1">
      <c r="A142" s="2">
        <v>141.0</v>
      </c>
      <c r="B142" s="2" t="s">
        <v>369</v>
      </c>
      <c r="C142" s="2" t="s">
        <v>370</v>
      </c>
      <c r="D142" s="2" t="s">
        <v>371</v>
      </c>
      <c r="E142" s="4">
        <f>IFERROR(__xludf.DUMMYFUNCTION("IFERROR(INDEX(GOOGLEFINANCE(""NSE:""&amp;C142,""open"",DATE(2026,1,1)),2,2),""N/A"")"),1048.2)</f>
        <v>1048.2</v>
      </c>
      <c r="F142" s="4">
        <f>IFERROR(__xludf.DUMMYFUNCTION("IFERROR(INDEX(GOOGLEFINANCE(""NSE:""&amp;C142,""open"",DATE(2026,4,1)),2,2),""N/A"")"),966.2)</f>
        <v>966.2</v>
      </c>
      <c r="G142" s="4">
        <f>IFERROR(__xludf.DUMMYFUNCTION("IFERROR(INDEX(GOOGLEFINANCE(""NSE:""&amp;C142,""open"",DATE(2026,5,2)),2,2),""N/A"")"),993.05)</f>
        <v>993.05</v>
      </c>
      <c r="H142" s="5">
        <f>IFERROR(__xludf.DUMMYFUNCTION("GOOGLEFINANCE(""NSE:""&amp;C142,""price"")"),1004.0)</f>
        <v>1004</v>
      </c>
      <c r="I142" s="5" t="str">
        <f t="shared" si="1"/>
        <v>🔴 -4.2%</v>
      </c>
      <c r="J142" s="5" t="str">
        <f t="shared" si="2"/>
        <v>🟢 +-3.8%</v>
      </c>
      <c r="K142" s="6" t="str">
        <f t="shared" si="3"/>
        <v>🟢 +-1.1%</v>
      </c>
    </row>
    <row r="143" ht="15.75" customHeight="1">
      <c r="A143" s="2">
        <v>142.0</v>
      </c>
      <c r="B143" s="2" t="s">
        <v>372</v>
      </c>
      <c r="C143" s="2" t="s">
        <v>373</v>
      </c>
      <c r="D143" s="2" t="s">
        <v>45</v>
      </c>
      <c r="E143" s="4">
        <f>IFERROR(__xludf.DUMMYFUNCTION("IFERROR(INDEX(GOOGLEFINANCE(""NSE:""&amp;C143,""open"",DATE(2026,1,1)),2,2),""N/A"")"),2500.0)</f>
        <v>2500</v>
      </c>
      <c r="F143" s="4">
        <f>IFERROR(__xludf.DUMMYFUNCTION("IFERROR(INDEX(GOOGLEFINANCE(""NSE:""&amp;C143,""open"",DATE(2026,4,1)),2,2),""N/A"")"),2150.0)</f>
        <v>2150</v>
      </c>
      <c r="G143" s="4">
        <f>IFERROR(__xludf.DUMMYFUNCTION("IFERROR(INDEX(GOOGLEFINANCE(""NSE:""&amp;C143,""open"",DATE(2026,5,2)),2,2),""N/A"")"),2751.2)</f>
        <v>2751.2</v>
      </c>
      <c r="H143" s="5">
        <f>IFERROR(__xludf.DUMMYFUNCTION("GOOGLEFINANCE(""NSE:""&amp;C143,""price"")"),2638.0)</f>
        <v>2638</v>
      </c>
      <c r="I143" s="5" t="str">
        <f t="shared" si="1"/>
        <v>🟢 +5.5%</v>
      </c>
      <c r="J143" s="5" t="str">
        <f t="shared" si="2"/>
        <v>🟢 +-18.5%</v>
      </c>
      <c r="K143" s="6" t="str">
        <f t="shared" si="3"/>
        <v>🔴 4.3%</v>
      </c>
    </row>
    <row r="144" ht="15.75" customHeight="1">
      <c r="A144" s="2">
        <v>143.0</v>
      </c>
      <c r="B144" s="2" t="s">
        <v>374</v>
      </c>
      <c r="C144" s="2" t="s">
        <v>375</v>
      </c>
      <c r="D144" s="2" t="s">
        <v>376</v>
      </c>
      <c r="E144" s="4">
        <f>IFERROR(__xludf.DUMMYFUNCTION("IFERROR(INDEX(GOOGLEFINANCE(""NSE:""&amp;C144,""open"",DATE(2026,1,1)),2,2),""N/A"")"),2232.0)</f>
        <v>2232</v>
      </c>
      <c r="F144" s="4">
        <f>IFERROR(__xludf.DUMMYFUNCTION("IFERROR(INDEX(GOOGLEFINANCE(""NSE:""&amp;C144,""open"",DATE(2026,4,1)),2,2),""N/A"")"),2449.9)</f>
        <v>2449.9</v>
      </c>
      <c r="G144" s="4">
        <f>IFERROR(__xludf.DUMMYFUNCTION("IFERROR(INDEX(GOOGLEFINANCE(""NSE:""&amp;C144,""open"",DATE(2026,5,2)),2,2),""N/A"")"),3000.0)</f>
        <v>3000</v>
      </c>
      <c r="H144" s="5">
        <f>IFERROR(__xludf.DUMMYFUNCTION("GOOGLEFINANCE(""NSE:""&amp;C144,""price"")"),2907.1)</f>
        <v>2907.1</v>
      </c>
      <c r="I144" s="5" t="str">
        <f t="shared" si="1"/>
        <v>🟢 +30.2%</v>
      </c>
      <c r="J144" s="5" t="str">
        <f t="shared" si="2"/>
        <v>🟢 +-15.7%</v>
      </c>
      <c r="K144" s="6" t="str">
        <f t="shared" si="3"/>
        <v>🔴 3.2%</v>
      </c>
    </row>
    <row r="145" ht="15.75" customHeight="1">
      <c r="A145" s="2">
        <v>144.0</v>
      </c>
      <c r="B145" s="2" t="s">
        <v>377</v>
      </c>
      <c r="C145" s="2" t="s">
        <v>378</v>
      </c>
      <c r="D145" s="2" t="s">
        <v>379</v>
      </c>
      <c r="E145" s="4">
        <f>IFERROR(__xludf.DUMMYFUNCTION("IFERROR(INDEX(GOOGLEFINANCE(""NSE:""&amp;C145,""open"",DATE(2026,1,1)),2,2),""N/A"")"),2788.9)</f>
        <v>2788.9</v>
      </c>
      <c r="F145" s="4">
        <f>IFERROR(__xludf.DUMMYFUNCTION("IFERROR(INDEX(GOOGLEFINANCE(""NSE:""&amp;C145,""open"",DATE(2026,4,1)),2,2),""N/A"")"),2110.0)</f>
        <v>2110</v>
      </c>
      <c r="G145" s="4">
        <f>IFERROR(__xludf.DUMMYFUNCTION("IFERROR(INDEX(GOOGLEFINANCE(""NSE:""&amp;C145,""open"",DATE(2026,5,2)),2,2),""N/A"")"),2286.9)</f>
        <v>2286.9</v>
      </c>
      <c r="H145" s="5">
        <f>IFERROR(__xludf.DUMMYFUNCTION("GOOGLEFINANCE(""NSE:""&amp;C145,""price"")"),2211.0)</f>
        <v>2211</v>
      </c>
      <c r="I145" s="5" t="str">
        <f t="shared" si="1"/>
        <v>🔴 -20.7%</v>
      </c>
      <c r="J145" s="5" t="str">
        <f t="shared" si="2"/>
        <v>🟢 +-4.6%</v>
      </c>
      <c r="K145" s="6" t="str">
        <f t="shared" si="3"/>
        <v>🔴 3.4%</v>
      </c>
    </row>
    <row r="146" ht="15.75" customHeight="1">
      <c r="A146" s="2">
        <v>145.0</v>
      </c>
      <c r="B146" s="2" t="s">
        <v>380</v>
      </c>
      <c r="C146" s="2" t="s">
        <v>380</v>
      </c>
      <c r="D146" s="2" t="s">
        <v>50</v>
      </c>
      <c r="E146" s="4">
        <f>IFERROR(__xludf.DUMMYFUNCTION("IFERROR(INDEX(GOOGLEFINANCE(""NSE:""&amp;C146,""open"",DATE(2026,1,1)),2,2),""N/A"")"),152500.0)</f>
        <v>152500</v>
      </c>
      <c r="F146" s="4">
        <f>IFERROR(__xludf.DUMMYFUNCTION("IFERROR(INDEX(GOOGLEFINANCE(""NSE:""&amp;C146,""open"",DATE(2026,4,1)),2,2),""N/A"")"),133000.0)</f>
        <v>133000</v>
      </c>
      <c r="G146" s="4">
        <f>IFERROR(__xludf.DUMMYFUNCTION("IFERROR(INDEX(GOOGLEFINANCE(""NSE:""&amp;C146,""open"",DATE(2026,5,2)),2,2),""N/A"")"),131000.0)</f>
        <v>131000</v>
      </c>
      <c r="H146" s="5">
        <f>IFERROR(__xludf.DUMMYFUNCTION("GOOGLEFINANCE(""NSE:""&amp;C146,""price"")"),128645.0)</f>
        <v>128645</v>
      </c>
      <c r="I146" s="5" t="str">
        <f t="shared" si="1"/>
        <v>🔴 -15.6%</v>
      </c>
      <c r="J146" s="5" t="str">
        <f t="shared" si="2"/>
        <v>🔴 3.4%</v>
      </c>
      <c r="K146" s="6" t="str">
        <f t="shared" si="3"/>
        <v>🔴 1.8%</v>
      </c>
    </row>
    <row r="147" ht="15.75" customHeight="1">
      <c r="A147" s="2">
        <v>146.0</v>
      </c>
      <c r="B147" s="2" t="s">
        <v>381</v>
      </c>
      <c r="C147" s="2" t="s">
        <v>382</v>
      </c>
      <c r="D147" s="2" t="s">
        <v>383</v>
      </c>
      <c r="E147" s="4">
        <f>IFERROR(__xludf.DUMMYFUNCTION("IFERROR(INDEX(GOOGLEFINANCE(""NSE:""&amp;C147,""open"",DATE(2026,1,1)),2,2),""N/A"")"),3801.5)</f>
        <v>3801.5</v>
      </c>
      <c r="F147" s="4">
        <f>IFERROR(__xludf.DUMMYFUNCTION("IFERROR(INDEX(GOOGLEFINANCE(""NSE:""&amp;C147,""open"",DATE(2026,4,1)),2,2),""N/A"")"),3279.0)</f>
        <v>3279</v>
      </c>
      <c r="G147" s="4">
        <f>IFERROR(__xludf.DUMMYFUNCTION("IFERROR(INDEX(GOOGLEFINANCE(""NSE:""&amp;C147,""open"",DATE(2026,5,2)),2,2),""N/A"")"),3424.2)</f>
        <v>3424.2</v>
      </c>
      <c r="H147" s="5">
        <f>IFERROR(__xludf.DUMMYFUNCTION("GOOGLEFINANCE(""NSE:""&amp;C147,""price"")"),3462.0)</f>
        <v>3462</v>
      </c>
      <c r="I147" s="5" t="str">
        <f t="shared" si="1"/>
        <v>🔴 -8.9%</v>
      </c>
      <c r="J147" s="5" t="str">
        <f t="shared" si="2"/>
        <v>🟢 +-5.3%</v>
      </c>
      <c r="K147" s="6" t="str">
        <f t="shared" si="3"/>
        <v>🟢 +-1.1%</v>
      </c>
    </row>
    <row r="148" ht="15.75" customHeight="1">
      <c r="A148" s="2">
        <v>147.0</v>
      </c>
      <c r="B148" s="2" t="s">
        <v>384</v>
      </c>
      <c r="C148" s="2" t="s">
        <v>385</v>
      </c>
      <c r="D148" s="2" t="s">
        <v>386</v>
      </c>
      <c r="E148" s="4">
        <f>IFERROR(__xludf.DUMMYFUNCTION("IFERROR(INDEX(GOOGLEFINANCE(""NSE:""&amp;C148,""open"",DATE(2026,1,1)),2,2),""N/A"")"),315.5)</f>
        <v>315.5</v>
      </c>
      <c r="F148" s="4">
        <f>IFERROR(__xludf.DUMMYFUNCTION("IFERROR(INDEX(GOOGLEFINANCE(""NSE:""&amp;C148,""open"",DATE(2026,4,1)),2,2),""N/A"")"),396.45)</f>
        <v>396.45</v>
      </c>
      <c r="G148" s="4">
        <f>IFERROR(__xludf.DUMMYFUNCTION("IFERROR(INDEX(GOOGLEFINANCE(""NSE:""&amp;C148,""open"",DATE(2026,5,2)),2,2),""N/A"")"),399.0)</f>
        <v>399</v>
      </c>
      <c r="H148" s="5">
        <f>IFERROR(__xludf.DUMMYFUNCTION("GOOGLEFINANCE(""NSE:""&amp;C148,""price"")"),413.0)</f>
        <v>413</v>
      </c>
      <c r="I148" s="5" t="str">
        <f t="shared" si="1"/>
        <v>🟢 +30.9%</v>
      </c>
      <c r="J148" s="5" t="str">
        <f t="shared" si="2"/>
        <v>🟢 +-4.0%</v>
      </c>
      <c r="K148" s="6" t="str">
        <f t="shared" si="3"/>
        <v>🟢 +-3.4%</v>
      </c>
    </row>
    <row r="149" ht="15.75" customHeight="1">
      <c r="A149" s="2">
        <v>148.0</v>
      </c>
      <c r="B149" s="2" t="s">
        <v>387</v>
      </c>
      <c r="C149" s="2" t="s">
        <v>388</v>
      </c>
      <c r="D149" s="2" t="s">
        <v>215</v>
      </c>
      <c r="E149" s="4">
        <f>IFERROR(__xludf.DUMMYFUNCTION("IFERROR(INDEX(GOOGLEFINANCE(""NSE:""&amp;C149,""open"",DATE(2026,1,1)),2,2),""N/A"")"),1293.0)</f>
        <v>1293</v>
      </c>
      <c r="F149" s="4">
        <f>IFERROR(__xludf.DUMMYFUNCTION("IFERROR(INDEX(GOOGLEFINANCE(""NSE:""&amp;C149,""open"",DATE(2026,4,1)),2,2),""N/A"")"),1174.8)</f>
        <v>1174.8</v>
      </c>
      <c r="G149" s="4">
        <f>IFERROR(__xludf.DUMMYFUNCTION("IFERROR(INDEX(GOOGLEFINANCE(""NSE:""&amp;C149,""open"",DATE(2026,5,2)),2,2),""N/A"")"),1460.0)</f>
        <v>1460</v>
      </c>
      <c r="H149" s="5">
        <f>IFERROR(__xludf.DUMMYFUNCTION("GOOGLEFINANCE(""NSE:""&amp;C149,""price"")"),1473.0)</f>
        <v>1473</v>
      </c>
      <c r="I149" s="5" t="str">
        <f t="shared" si="1"/>
        <v>🟢 +13.9%</v>
      </c>
      <c r="J149" s="5" t="str">
        <f t="shared" si="2"/>
        <v>🟢 +-20.2%</v>
      </c>
      <c r="K149" s="6" t="str">
        <f t="shared" si="3"/>
        <v>🟢 +-0.9%</v>
      </c>
    </row>
    <row r="150" ht="15.75" customHeight="1">
      <c r="A150" s="2">
        <v>149.0</v>
      </c>
      <c r="B150" s="2" t="s">
        <v>389</v>
      </c>
      <c r="C150" s="2" t="s">
        <v>389</v>
      </c>
      <c r="D150" s="2" t="s">
        <v>390</v>
      </c>
      <c r="E150" s="4">
        <f>IFERROR(__xludf.DUMMYFUNCTION("IFERROR(INDEX(GOOGLEFINANCE(""NSE:""&amp;C150,""open"",DATE(2026,1,1)),2,2),""N/A"")"),122.3)</f>
        <v>122.3</v>
      </c>
      <c r="F150" s="4">
        <f>IFERROR(__xludf.DUMMYFUNCTION("IFERROR(INDEX(GOOGLEFINANCE(""NSE:""&amp;C150,""open"",DATE(2026,4,1)),2,2),""N/A"")"),81.1)</f>
        <v>81.1</v>
      </c>
      <c r="G150" s="4">
        <f>IFERROR(__xludf.DUMMYFUNCTION("IFERROR(INDEX(GOOGLEFINANCE(""NSE:""&amp;C150,""open"",DATE(2026,5,2)),2,2),""N/A"")"),92.95)</f>
        <v>92.95</v>
      </c>
      <c r="H150" s="5">
        <f>IFERROR(__xludf.DUMMYFUNCTION("GOOGLEFINANCE(""NSE:""&amp;C150,""price"")"),93.2)</f>
        <v>93.2</v>
      </c>
      <c r="I150" s="5" t="str">
        <f t="shared" si="1"/>
        <v>🔴 -23.8%</v>
      </c>
      <c r="J150" s="5" t="str">
        <f t="shared" si="2"/>
        <v>🟢 +-13.0%</v>
      </c>
      <c r="K150" s="6" t="str">
        <f t="shared" si="3"/>
        <v>🟢 +-0.3%</v>
      </c>
    </row>
    <row r="151" ht="15.75" customHeight="1">
      <c r="A151" s="2">
        <v>150.0</v>
      </c>
      <c r="B151" s="2" t="s">
        <v>391</v>
      </c>
      <c r="C151" s="2" t="s">
        <v>391</v>
      </c>
      <c r="D151" s="2" t="s">
        <v>50</v>
      </c>
      <c r="E151" s="4">
        <f>IFERROR(__xludf.DUMMYFUNCTION("IFERROR(INDEX(GOOGLEFINANCE(""NSE:""&amp;C151,""open"",DATE(2026,1,1)),2,2),""N/A"")"),162.03)</f>
        <v>162.03</v>
      </c>
      <c r="F151" s="4">
        <f>IFERROR(__xludf.DUMMYFUNCTION("IFERROR(INDEX(GOOGLEFINANCE(""NSE:""&amp;C151,""open"",DATE(2026,4,1)),2,2),""N/A"")"),135.0)</f>
        <v>135</v>
      </c>
      <c r="G151" s="4">
        <f>IFERROR(__xludf.DUMMYFUNCTION("IFERROR(INDEX(GOOGLEFINANCE(""NSE:""&amp;C151,""open"",DATE(2026,5,2)),2,2),""N/A"")"),166.52)</f>
        <v>166.52</v>
      </c>
      <c r="H151" s="5">
        <f>IFERROR(__xludf.DUMMYFUNCTION("GOOGLEFINANCE(""NSE:""&amp;C151,""price"")"),167.6)</f>
        <v>167.6</v>
      </c>
      <c r="I151" s="5" t="str">
        <f t="shared" si="1"/>
        <v>🟢 +3.4%</v>
      </c>
      <c r="J151" s="5" t="str">
        <f t="shared" si="2"/>
        <v>🟢 +-19.5%</v>
      </c>
      <c r="K151" s="6" t="str">
        <f t="shared" si="3"/>
        <v>🟢 +-0.6%</v>
      </c>
    </row>
    <row r="152" ht="15.75" customHeight="1">
      <c r="A152" s="2">
        <v>151.0</v>
      </c>
      <c r="B152" s="2" t="s">
        <v>392</v>
      </c>
      <c r="C152" s="2" t="s">
        <v>393</v>
      </c>
      <c r="D152" s="2" t="s">
        <v>224</v>
      </c>
      <c r="E152" s="4">
        <f>IFERROR(__xludf.DUMMYFUNCTION("IFERROR(INDEX(GOOGLEFINANCE(""NSE:""&amp;C152,""open"",DATE(2026,1,1)),2,2),""N/A"")"),157.0)</f>
        <v>157</v>
      </c>
      <c r="F152" s="4">
        <f>IFERROR(__xludf.DUMMYFUNCTION("IFERROR(INDEX(GOOGLEFINANCE(""NSE:""&amp;C152,""open"",DATE(2026,4,1)),2,2),""N/A"")"),120.0)</f>
        <v>120</v>
      </c>
      <c r="G152" s="4">
        <f>IFERROR(__xludf.DUMMYFUNCTION("IFERROR(INDEX(GOOGLEFINANCE(""NSE:""&amp;C152,""open"",DATE(2026,5,2)),2,2),""N/A"")"),161.0)</f>
        <v>161</v>
      </c>
      <c r="H152" s="5">
        <f>IFERROR(__xludf.DUMMYFUNCTION("GOOGLEFINANCE(""NSE:""&amp;C152,""price"")"),162.2)</f>
        <v>162.2</v>
      </c>
      <c r="I152" s="5" t="str">
        <f t="shared" si="1"/>
        <v>🟢 +3.3%</v>
      </c>
      <c r="J152" s="5" t="str">
        <f t="shared" si="2"/>
        <v>🟢 +-26.0%</v>
      </c>
      <c r="K152" s="6" t="str">
        <f t="shared" si="3"/>
        <v>🟢 +-0.7%</v>
      </c>
    </row>
    <row r="153" ht="15.75" customHeight="1">
      <c r="A153" s="2">
        <v>152.0</v>
      </c>
      <c r="B153" s="2" t="s">
        <v>394</v>
      </c>
      <c r="C153" s="2" t="s">
        <v>394</v>
      </c>
      <c r="D153" s="2" t="s">
        <v>395</v>
      </c>
      <c r="E153" s="4">
        <f>IFERROR(__xludf.DUMMYFUNCTION("IFERROR(INDEX(GOOGLEFINANCE(""NSE:""&amp;C153,""open"",DATE(2026,1,1)),2,2),""N/A"")"),79.06)</f>
        <v>79.06</v>
      </c>
      <c r="F153" s="4">
        <f>IFERROR(__xludf.DUMMYFUNCTION("IFERROR(INDEX(GOOGLEFINANCE(""NSE:""&amp;C153,""open"",DATE(2026,4,1)),2,2),""N/A"")"),75.95)</f>
        <v>75.95</v>
      </c>
      <c r="G153" s="4">
        <f>IFERROR(__xludf.DUMMYFUNCTION("IFERROR(INDEX(GOOGLEFINANCE(""NSE:""&amp;C153,""open"",DATE(2026,5,2)),2,2),""N/A"")"),83.4)</f>
        <v>83.4</v>
      </c>
      <c r="H153" s="5">
        <f>IFERROR(__xludf.DUMMYFUNCTION("GOOGLEFINANCE(""NSE:""&amp;C153,""price"")"),83.1)</f>
        <v>83.1</v>
      </c>
      <c r="I153" s="5" t="str">
        <f t="shared" si="1"/>
        <v>🟢 +5.1%</v>
      </c>
      <c r="J153" s="5" t="str">
        <f t="shared" si="2"/>
        <v>🟢 +-8.6%</v>
      </c>
      <c r="K153" s="6" t="str">
        <f t="shared" si="3"/>
        <v>🔴 0.4%</v>
      </c>
    </row>
    <row r="154" ht="15.75" customHeight="1">
      <c r="A154" s="2">
        <v>153.0</v>
      </c>
      <c r="B154" s="2" t="s">
        <v>396</v>
      </c>
      <c r="C154" s="2" t="s">
        <v>396</v>
      </c>
      <c r="D154" s="2" t="s">
        <v>397</v>
      </c>
      <c r="E154" s="4">
        <f>IFERROR(__xludf.DUMMYFUNCTION("IFERROR(INDEX(GOOGLEFINANCE(""NSE:""&amp;C154,""open"",DATE(2026,1,1)),2,2),""N/A"")"),83.17)</f>
        <v>83.17</v>
      </c>
      <c r="F154" s="4">
        <f>IFERROR(__xludf.DUMMYFUNCTION("IFERROR(INDEX(GOOGLEFINANCE(""NSE:""&amp;C154,""open"",DATE(2026,4,1)),2,2),""N/A"")"),78.56)</f>
        <v>78.56</v>
      </c>
      <c r="G154" s="4">
        <f>IFERROR(__xludf.DUMMYFUNCTION("IFERROR(INDEX(GOOGLEFINANCE(""NSE:""&amp;C154,""open"",DATE(2026,5,2)),2,2),""N/A"")"),91.0)</f>
        <v>91</v>
      </c>
      <c r="H154" s="5">
        <f>IFERROR(__xludf.DUMMYFUNCTION("GOOGLEFINANCE(""NSE:""&amp;C154,""price"")"),88.88)</f>
        <v>88.88</v>
      </c>
      <c r="I154" s="5" t="str">
        <f t="shared" si="1"/>
        <v>🟢 +6.9%</v>
      </c>
      <c r="J154" s="5" t="str">
        <f t="shared" si="2"/>
        <v>🟢 +-11.6%</v>
      </c>
      <c r="K154" s="6" t="str">
        <f t="shared" si="3"/>
        <v>🔴 2.4%</v>
      </c>
    </row>
    <row r="155" ht="15.75" customHeight="1">
      <c r="A155" s="2">
        <v>154.0</v>
      </c>
      <c r="B155" s="2" t="s">
        <v>398</v>
      </c>
      <c r="C155" s="2" t="s">
        <v>398</v>
      </c>
      <c r="D155" s="2" t="s">
        <v>399</v>
      </c>
      <c r="E155" s="4">
        <f>IFERROR(__xludf.DUMMYFUNCTION("IFERROR(INDEX(GOOGLEFINANCE(""NSE:""&amp;C155,""open"",DATE(2026,1,1)),2,2),""N/A"")"),329.8)</f>
        <v>329.8</v>
      </c>
      <c r="F155" s="4">
        <f>IFERROR(__xludf.DUMMYFUNCTION("IFERROR(INDEX(GOOGLEFINANCE(""NSE:""&amp;C155,""open"",DATE(2026,4,1)),2,2),""N/A"")"),381.3)</f>
        <v>381.3</v>
      </c>
      <c r="G155" s="4">
        <f>IFERROR(__xludf.DUMMYFUNCTION("IFERROR(INDEX(GOOGLEFINANCE(""NSE:""&amp;C155,""open"",DATE(2026,5,2)),2,2),""N/A"")"),400.0)</f>
        <v>400</v>
      </c>
      <c r="H155" s="5">
        <f>IFERROR(__xludf.DUMMYFUNCTION("GOOGLEFINANCE(""NSE:""&amp;C155,""price"")"),399.2)</f>
        <v>399.2</v>
      </c>
      <c r="I155" s="5" t="str">
        <f t="shared" si="1"/>
        <v>🟢 +21.0%</v>
      </c>
      <c r="J155" s="5" t="str">
        <f t="shared" si="2"/>
        <v>🟢 +-4.5%</v>
      </c>
      <c r="K155" s="6" t="str">
        <f t="shared" si="3"/>
        <v>🔴 0.2%</v>
      </c>
    </row>
    <row r="156" ht="15.75" customHeight="1">
      <c r="A156" s="2">
        <v>155.0</v>
      </c>
      <c r="B156" s="2" t="s">
        <v>400</v>
      </c>
      <c r="C156" s="2" t="s">
        <v>401</v>
      </c>
      <c r="D156" s="2" t="s">
        <v>402</v>
      </c>
      <c r="E156" s="4">
        <f>IFERROR(__xludf.DUMMYFUNCTION("IFERROR(INDEX(GOOGLEFINANCE(""NSE:""&amp;C156,""open"",DATE(2026,1,1)),2,2),""N/A"")"),1677.0)</f>
        <v>1677</v>
      </c>
      <c r="F156" s="4">
        <f>IFERROR(__xludf.DUMMYFUNCTION("IFERROR(INDEX(GOOGLEFINANCE(""NSE:""&amp;C156,""open"",DATE(2026,4,1)),2,2),""N/A"")"),1439.1)</f>
        <v>1439.1</v>
      </c>
      <c r="G156" s="4">
        <f>IFERROR(__xludf.DUMMYFUNCTION("IFERROR(INDEX(GOOGLEFINANCE(""NSE:""&amp;C156,""open"",DATE(2026,5,2)),2,2),""N/A"")"),1669.0)</f>
        <v>1669</v>
      </c>
      <c r="H156" s="5">
        <f>IFERROR(__xludf.DUMMYFUNCTION("GOOGLEFINANCE(""NSE:""&amp;C156,""price"")"),1661.0)</f>
        <v>1661</v>
      </c>
      <c r="I156" s="5" t="str">
        <f t="shared" si="1"/>
        <v>🔴 -1.0%</v>
      </c>
      <c r="J156" s="5" t="str">
        <f t="shared" si="2"/>
        <v>🟢 +-13.4%</v>
      </c>
      <c r="K156" s="6" t="str">
        <f t="shared" si="3"/>
        <v>🔴 0.5%</v>
      </c>
    </row>
    <row r="157" ht="15.75" customHeight="1">
      <c r="A157" s="2">
        <v>156.0</v>
      </c>
      <c r="B157" s="2" t="s">
        <v>403</v>
      </c>
      <c r="C157" s="2" t="s">
        <v>404</v>
      </c>
      <c r="D157" s="2" t="s">
        <v>50</v>
      </c>
      <c r="E157" s="4">
        <f>IFERROR(__xludf.DUMMYFUNCTION("IFERROR(INDEX(GOOGLEFINANCE(""NSE:""&amp;C157,""open"",DATE(2026,1,1)),2,2),""N/A"")"),240.9)</f>
        <v>240.9</v>
      </c>
      <c r="F157" s="4">
        <f>IFERROR(__xludf.DUMMYFUNCTION("IFERROR(INDEX(GOOGLEFINANCE(""NSE:""&amp;C157,""open"",DATE(2026,4,1)),2,2),""N/A"")"),290.0)</f>
        <v>290</v>
      </c>
      <c r="G157" s="4">
        <f>IFERROR(__xludf.DUMMYFUNCTION("IFERROR(INDEX(GOOGLEFINANCE(""NSE:""&amp;C157,""open"",DATE(2026,5,2)),2,2),""N/A"")"),298.4)</f>
        <v>298.4</v>
      </c>
      <c r="H157" s="5">
        <f>IFERROR(__xludf.DUMMYFUNCTION("GOOGLEFINANCE(""NSE:""&amp;C157,""price"")"),290.1)</f>
        <v>290.1</v>
      </c>
      <c r="I157" s="5" t="str">
        <f t="shared" si="1"/>
        <v>🟢 +20.4%</v>
      </c>
      <c r="J157" s="5" t="str">
        <f t="shared" si="2"/>
        <v>🟢 +0.0%</v>
      </c>
      <c r="K157" s="6" t="str">
        <f t="shared" si="3"/>
        <v>🔴 2.9%</v>
      </c>
    </row>
    <row r="158" ht="15.75" customHeight="1">
      <c r="A158" s="2">
        <v>157.0</v>
      </c>
      <c r="B158" s="2" t="s">
        <v>405</v>
      </c>
      <c r="C158" s="2" t="s">
        <v>406</v>
      </c>
      <c r="D158" s="2" t="s">
        <v>395</v>
      </c>
      <c r="E158" s="4">
        <f>IFERROR(__xludf.DUMMYFUNCTION("IFERROR(INDEX(GOOGLEFINANCE(""NSE:""&amp;C158,""open"",DATE(2026,1,1)),2,2),""N/A"")"),424.25)</f>
        <v>424.25</v>
      </c>
      <c r="F158" s="4">
        <f>IFERROR(__xludf.DUMMYFUNCTION("IFERROR(INDEX(GOOGLEFINANCE(""NSE:""&amp;C158,""open"",DATE(2026,4,1)),2,2),""N/A"")"),480.0)</f>
        <v>480</v>
      </c>
      <c r="G158" s="4">
        <f>IFERROR(__xludf.DUMMYFUNCTION("IFERROR(INDEX(GOOGLEFINANCE(""NSE:""&amp;C158,""open"",DATE(2026,5,2)),2,2),""N/A"")"),487.0)</f>
        <v>487</v>
      </c>
      <c r="H158" s="5">
        <f>IFERROR(__xludf.DUMMYFUNCTION("GOOGLEFINANCE(""NSE:""&amp;C158,""price"")"),478.0)</f>
        <v>478</v>
      </c>
      <c r="I158" s="5" t="str">
        <f t="shared" si="1"/>
        <v>🟢 +12.7%</v>
      </c>
      <c r="J158" s="5" t="str">
        <f t="shared" si="2"/>
        <v>🔴 0.4%</v>
      </c>
      <c r="K158" s="6" t="str">
        <f t="shared" si="3"/>
        <v>🔴 1.9%</v>
      </c>
    </row>
    <row r="159" ht="15.75" customHeight="1">
      <c r="A159" s="2">
        <v>158.0</v>
      </c>
      <c r="B159" s="2" t="s">
        <v>407</v>
      </c>
      <c r="C159" s="2" t="s">
        <v>408</v>
      </c>
      <c r="D159" s="2" t="s">
        <v>56</v>
      </c>
      <c r="E159" s="4">
        <f>IFERROR(__xludf.DUMMYFUNCTION("IFERROR(INDEX(GOOGLEFINANCE(""NSE:""&amp;C159,""open"",DATE(2026,1,1)),2,2),""N/A"")"),7699.5)</f>
        <v>7699.5</v>
      </c>
      <c r="F159" s="4">
        <f>IFERROR(__xludf.DUMMYFUNCTION("IFERROR(INDEX(GOOGLEFINANCE(""NSE:""&amp;C159,""open"",DATE(2026,4,1)),2,2),""N/A"")"),6950.0)</f>
        <v>6950</v>
      </c>
      <c r="G159" s="4">
        <f>IFERROR(__xludf.DUMMYFUNCTION("IFERROR(INDEX(GOOGLEFINANCE(""NSE:""&amp;C159,""open"",DATE(2026,5,2)),2,2),""N/A"")"),9885.5)</f>
        <v>9885.5</v>
      </c>
      <c r="H159" s="5">
        <f>IFERROR(__xludf.DUMMYFUNCTION("GOOGLEFINANCE(""NSE:""&amp;C159,""price"")"),9710.0)</f>
        <v>9710</v>
      </c>
      <c r="I159" s="5" t="str">
        <f t="shared" si="1"/>
        <v>🟢 +26.1%</v>
      </c>
      <c r="J159" s="5" t="str">
        <f t="shared" si="2"/>
        <v>🟢 +-28.4%</v>
      </c>
      <c r="K159" s="6" t="str">
        <f t="shared" si="3"/>
        <v>🔴 1.8%</v>
      </c>
    </row>
    <row r="160" ht="15.75" customHeight="1">
      <c r="A160" s="2">
        <v>159.0</v>
      </c>
      <c r="B160" s="2" t="s">
        <v>409</v>
      </c>
      <c r="C160" s="2" t="s">
        <v>410</v>
      </c>
      <c r="D160" s="2" t="s">
        <v>59</v>
      </c>
      <c r="E160" s="4">
        <f>IFERROR(__xludf.DUMMYFUNCTION("IFERROR(INDEX(GOOGLEFINANCE(""NSE:""&amp;C160,""open"",DATE(2026,1,1)),2,2),""N/A"")"),36285.0)</f>
        <v>36285</v>
      </c>
      <c r="F160" s="4">
        <f>IFERROR(__xludf.DUMMYFUNCTION("IFERROR(INDEX(GOOGLEFINANCE(""NSE:""&amp;C160,""open"",DATE(2026,4,1)),2,2),""N/A"")"),32305.0)</f>
        <v>32305</v>
      </c>
      <c r="G160" s="4">
        <f>IFERROR(__xludf.DUMMYFUNCTION("IFERROR(INDEX(GOOGLEFINANCE(""NSE:""&amp;C160,""open"",DATE(2026,5,2)),2,2),""N/A"")"),36915.0)</f>
        <v>36915</v>
      </c>
      <c r="H160" s="5">
        <f>IFERROR(__xludf.DUMMYFUNCTION("GOOGLEFINANCE(""NSE:""&amp;C160,""price"")"),37390.0)</f>
        <v>37390</v>
      </c>
      <c r="I160" s="5" t="str">
        <f t="shared" si="1"/>
        <v>🟢 +3.0%</v>
      </c>
      <c r="J160" s="5" t="str">
        <f t="shared" si="2"/>
        <v>🟢 +-13.6%</v>
      </c>
      <c r="K160" s="6" t="str">
        <f t="shared" si="3"/>
        <v>🟢 +-1.3%</v>
      </c>
    </row>
    <row r="161" ht="15.75" customHeight="1">
      <c r="A161" s="2">
        <v>160.0</v>
      </c>
      <c r="B161" s="2" t="s">
        <v>411</v>
      </c>
      <c r="C161" s="2" t="s">
        <v>412</v>
      </c>
      <c r="D161" s="2" t="s">
        <v>50</v>
      </c>
      <c r="E161" s="4">
        <f>IFERROR(__xludf.DUMMYFUNCTION("IFERROR(INDEX(GOOGLEFINANCE(""NSE:""&amp;C161,""open"",DATE(2026,1,1)),2,2),""N/A"")"),549.1)</f>
        <v>549.1</v>
      </c>
      <c r="F161" s="4">
        <f>IFERROR(__xludf.DUMMYFUNCTION("IFERROR(INDEX(GOOGLEFINANCE(""NSE:""&amp;C161,""open"",DATE(2026,4,1)),2,2),""N/A"")"),473.8)</f>
        <v>473.8</v>
      </c>
      <c r="G161" s="4">
        <f>IFERROR(__xludf.DUMMYFUNCTION("IFERROR(INDEX(GOOGLEFINANCE(""NSE:""&amp;C161,""open"",DATE(2026,5,2)),2,2),""N/A"")"),463.0)</f>
        <v>463</v>
      </c>
      <c r="H161" s="5">
        <f>IFERROR(__xludf.DUMMYFUNCTION("GOOGLEFINANCE(""NSE:""&amp;C161,""price"")"),456.0)</f>
        <v>456</v>
      </c>
      <c r="I161" s="5" t="str">
        <f t="shared" si="1"/>
        <v>🔴 -17.0%</v>
      </c>
      <c r="J161" s="5" t="str">
        <f t="shared" si="2"/>
        <v>🔴 3.9%</v>
      </c>
      <c r="K161" s="6" t="str">
        <f t="shared" si="3"/>
        <v>🔴 1.5%</v>
      </c>
    </row>
    <row r="162" ht="15.75" customHeight="1">
      <c r="A162" s="2">
        <v>161.0</v>
      </c>
      <c r="B162" s="2" t="s">
        <v>413</v>
      </c>
      <c r="C162" s="2" t="s">
        <v>414</v>
      </c>
      <c r="D162" s="2" t="s">
        <v>195</v>
      </c>
      <c r="E162" s="4">
        <f>IFERROR(__xludf.DUMMYFUNCTION("IFERROR(INDEX(GOOGLEFINANCE(""NSE:""&amp;C162,""open"",DATE(2026,1,1)),2,2),""N/A"")"),1298.9)</f>
        <v>1298.9</v>
      </c>
      <c r="F162" s="4">
        <f>IFERROR(__xludf.DUMMYFUNCTION("IFERROR(INDEX(GOOGLEFINANCE(""NSE:""&amp;C162,""open"",DATE(2026,4,1)),2,2),""N/A"")"),989.95)</f>
        <v>989.95</v>
      </c>
      <c r="G162" s="4">
        <f>IFERROR(__xludf.DUMMYFUNCTION("IFERROR(INDEX(GOOGLEFINANCE(""NSE:""&amp;C162,""open"",DATE(2026,5,2)),2,2),""N/A"")"),1097.8)</f>
        <v>1097.8</v>
      </c>
      <c r="H162" s="5">
        <f>IFERROR(__xludf.DUMMYFUNCTION("GOOGLEFINANCE(""NSE:""&amp;C162,""price"")"),1092.0)</f>
        <v>1092</v>
      </c>
      <c r="I162" s="5" t="str">
        <f t="shared" si="1"/>
        <v>🔴 -15.9%</v>
      </c>
      <c r="J162" s="5" t="str">
        <f t="shared" si="2"/>
        <v>🟢 +-9.3%</v>
      </c>
      <c r="K162" s="6" t="str">
        <f t="shared" si="3"/>
        <v>🔴 0.5%</v>
      </c>
    </row>
    <row r="163" ht="15.75" customHeight="1">
      <c r="A163" s="2">
        <v>162.0</v>
      </c>
      <c r="B163" s="2" t="s">
        <v>415</v>
      </c>
      <c r="C163" s="2" t="s">
        <v>416</v>
      </c>
      <c r="D163" s="2" t="s">
        <v>417</v>
      </c>
      <c r="E163" s="4">
        <f>IFERROR(__xludf.DUMMYFUNCTION("IFERROR(INDEX(GOOGLEFINANCE(""NSE:""&amp;C163,""open"",DATE(2026,1,1)),2,2),""N/A"")"),6285.0)</f>
        <v>6285</v>
      </c>
      <c r="F163" s="4">
        <f>IFERROR(__xludf.DUMMYFUNCTION("IFERROR(INDEX(GOOGLEFINANCE(""NSE:""&amp;C163,""open"",DATE(2026,4,1)),2,2),""N/A"")"),5000.0)</f>
        <v>5000</v>
      </c>
      <c r="G163" s="4">
        <f>IFERROR(__xludf.DUMMYFUNCTION("IFERROR(INDEX(GOOGLEFINANCE(""NSE:""&amp;C163,""open"",DATE(2026,5,2)),2,2),""N/A"")"),4815.2)</f>
        <v>4815.2</v>
      </c>
      <c r="H163" s="5">
        <f>IFERROR(__xludf.DUMMYFUNCTION("GOOGLEFINANCE(""NSE:""&amp;C163,""price"")"),4817.0)</f>
        <v>4817</v>
      </c>
      <c r="I163" s="5" t="str">
        <f t="shared" si="1"/>
        <v>🔴 -23.4%</v>
      </c>
      <c r="J163" s="5" t="str">
        <f t="shared" si="2"/>
        <v>🔴 3.8%</v>
      </c>
      <c r="K163" s="6" t="str">
        <f t="shared" si="3"/>
        <v>🟢 +0.0%</v>
      </c>
    </row>
    <row r="164" ht="15.75" customHeight="1">
      <c r="A164" s="2">
        <v>163.0</v>
      </c>
      <c r="B164" s="2" t="s">
        <v>418</v>
      </c>
      <c r="C164" s="2" t="s">
        <v>419</v>
      </c>
      <c r="D164" s="2" t="s">
        <v>420</v>
      </c>
      <c r="E164" s="4">
        <f>IFERROR(__xludf.DUMMYFUNCTION("IFERROR(INDEX(GOOGLEFINANCE(""NSE:""&amp;C164,""open"",DATE(2026,1,1)),2,2),""N/A"")"),284.9)</f>
        <v>284.9</v>
      </c>
      <c r="F164" s="4">
        <f>IFERROR(__xludf.DUMMYFUNCTION("IFERROR(INDEX(GOOGLEFINANCE(""NSE:""&amp;C164,""open"",DATE(2026,4,1)),2,2),""N/A"")"),256.1)</f>
        <v>256.1</v>
      </c>
      <c r="G164" s="4">
        <f>IFERROR(__xludf.DUMMYFUNCTION("IFERROR(INDEX(GOOGLEFINANCE(""NSE:""&amp;C164,""open"",DATE(2026,5,2)),2,2),""N/A"")"),280.45)</f>
        <v>280.45</v>
      </c>
      <c r="H164" s="5">
        <f>IFERROR(__xludf.DUMMYFUNCTION("GOOGLEFINANCE(""NSE:""&amp;C164,""price"")"),282.35)</f>
        <v>282.35</v>
      </c>
      <c r="I164" s="5" t="str">
        <f t="shared" si="1"/>
        <v>🔴 -0.9%</v>
      </c>
      <c r="J164" s="5" t="str">
        <f t="shared" si="2"/>
        <v>🟢 +-9.3%</v>
      </c>
      <c r="K164" s="6" t="str">
        <f t="shared" si="3"/>
        <v>🟢 +-0.7%</v>
      </c>
    </row>
    <row r="165" ht="15.75" customHeight="1">
      <c r="A165" s="2">
        <v>164.0</v>
      </c>
      <c r="B165" s="2" t="s">
        <v>421</v>
      </c>
      <c r="C165" s="2" t="s">
        <v>422</v>
      </c>
      <c r="D165" s="2" t="s">
        <v>50</v>
      </c>
      <c r="E165" s="4">
        <f>IFERROR(__xludf.DUMMYFUNCTION("IFERROR(INDEX(GOOGLEFINANCE(""NSE:""&amp;C165,""open"",DATE(2026,1,1)),2,2),""N/A"")"),1853.5)</f>
        <v>1853.5</v>
      </c>
      <c r="F165" s="4">
        <f>IFERROR(__xludf.DUMMYFUNCTION("IFERROR(INDEX(GOOGLEFINANCE(""NSE:""&amp;C165,""open"",DATE(2026,4,1)),2,2),""N/A"")"),1529.5)</f>
        <v>1529.5</v>
      </c>
      <c r="G165" s="4">
        <f>IFERROR(__xludf.DUMMYFUNCTION("IFERROR(INDEX(GOOGLEFINANCE(""NSE:""&amp;C165,""open"",DATE(2026,5,2)),2,2),""N/A"")"),1795.0)</f>
        <v>1795</v>
      </c>
      <c r="H165" s="5">
        <f>IFERROR(__xludf.DUMMYFUNCTION("GOOGLEFINANCE(""NSE:""&amp;C165,""price"")"),1789.1)</f>
        <v>1789.1</v>
      </c>
      <c r="I165" s="5" t="str">
        <f t="shared" si="1"/>
        <v>🔴 -3.5%</v>
      </c>
      <c r="J165" s="5" t="str">
        <f t="shared" si="2"/>
        <v>🟢 +-14.5%</v>
      </c>
      <c r="K165" s="6" t="str">
        <f t="shared" si="3"/>
        <v>🔴 0.3%</v>
      </c>
    </row>
    <row r="166" ht="15.75" customHeight="1">
      <c r="A166" s="2">
        <v>165.0</v>
      </c>
      <c r="B166" s="2" t="s">
        <v>423</v>
      </c>
      <c r="C166" s="2" t="s">
        <v>424</v>
      </c>
      <c r="D166" s="2" t="s">
        <v>50</v>
      </c>
      <c r="E166" s="4">
        <f>IFERROR(__xludf.DUMMYFUNCTION("IFERROR(INDEX(GOOGLEFINANCE(""NSE:""&amp;C166,""open"",DATE(2026,1,1)),2,2),""N/A"")"),1483.9)</f>
        <v>1483.9</v>
      </c>
      <c r="F166" s="4">
        <f>IFERROR(__xludf.DUMMYFUNCTION("IFERROR(INDEX(GOOGLEFINANCE(""NSE:""&amp;C166,""open"",DATE(2026,4,1)),2,2),""N/A"")"),1317.9)</f>
        <v>1317.9</v>
      </c>
      <c r="G166" s="4">
        <f>IFERROR(__xludf.DUMMYFUNCTION("IFERROR(INDEX(GOOGLEFINANCE(""NSE:""&amp;C166,""open"",DATE(2026,5,2)),2,2),""N/A"")"),1378.2)</f>
        <v>1378.2</v>
      </c>
      <c r="H166" s="5">
        <f>IFERROR(__xludf.DUMMYFUNCTION("GOOGLEFINANCE(""NSE:""&amp;C166,""price"")"),1366.9)</f>
        <v>1366.9</v>
      </c>
      <c r="I166" s="5" t="str">
        <f t="shared" si="1"/>
        <v>🔴 -7.9%</v>
      </c>
      <c r="J166" s="5" t="str">
        <f t="shared" si="2"/>
        <v>🟢 +-3.6%</v>
      </c>
      <c r="K166" s="6" t="str">
        <f t="shared" si="3"/>
        <v>🔴 0.8%</v>
      </c>
    </row>
    <row r="167" ht="15.75" customHeight="1">
      <c r="A167" s="2">
        <v>166.0</v>
      </c>
      <c r="B167" s="2" t="s">
        <v>425</v>
      </c>
      <c r="C167" s="2" t="s">
        <v>426</v>
      </c>
      <c r="D167" s="2" t="s">
        <v>50</v>
      </c>
      <c r="E167" s="4" t="str">
        <f>IFERROR(__xludf.DUMMYFUNCTION("IFERROR(INDEX(GOOGLEFINANCE(""NSE:""&amp;C167,""open"",DATE(2026,1,1)),2,2),""N/A"")"),"N/A")</f>
        <v>N/A</v>
      </c>
      <c r="F167" s="4" t="str">
        <f>IFERROR(__xludf.DUMMYFUNCTION("IFERROR(INDEX(GOOGLEFINANCE(""NSE:""&amp;C167,""open"",DATE(2026,4,1)),2,2),""N/A"")"),"N/A")</f>
        <v>N/A</v>
      </c>
      <c r="G167" s="4" t="str">
        <f>IFERROR(__xludf.DUMMYFUNCTION("IFERROR(INDEX(GOOGLEFINANCE(""NSE:""&amp;C167,""open"",DATE(2026,5,2)),2,2),""N/A"")"),"N/A")</f>
        <v>N/A</v>
      </c>
      <c r="H167" s="5" t="str">
        <f>IFERROR(__xludf.DUMMYFUNCTION("GOOGLEFINANCE(""NSE:""&amp;C167,""price"")"),"#N/A")</f>
        <v>#N/A</v>
      </c>
      <c r="I167" s="5" t="str">
        <f t="shared" si="1"/>
        <v>#N/A</v>
      </c>
      <c r="J167" s="5" t="str">
        <f t="shared" si="2"/>
        <v>#N/A</v>
      </c>
      <c r="K167" s="6" t="str">
        <f t="shared" si="3"/>
        <v>#N/A</v>
      </c>
    </row>
    <row r="168" ht="15.75" customHeight="1">
      <c r="A168" s="2">
        <v>167.0</v>
      </c>
      <c r="B168" s="2" t="s">
        <v>427</v>
      </c>
      <c r="C168" s="2" t="s">
        <v>428</v>
      </c>
      <c r="D168" s="2" t="s">
        <v>74</v>
      </c>
      <c r="E168" s="4">
        <f>IFERROR(__xludf.DUMMYFUNCTION("IFERROR(INDEX(GOOGLEFINANCE(""NSE:""&amp;C168,""open"",DATE(2026,1,1)),2,2),""N/A"")"),3255.0)</f>
        <v>3255</v>
      </c>
      <c r="F168" s="4">
        <f>IFERROR(__xludf.DUMMYFUNCTION("IFERROR(INDEX(GOOGLEFINANCE(""NSE:""&amp;C168,""open"",DATE(2026,4,1)),2,2),""N/A"")"),2758.7)</f>
        <v>2758.7</v>
      </c>
      <c r="G168" s="4">
        <f>IFERROR(__xludf.DUMMYFUNCTION("IFERROR(INDEX(GOOGLEFINANCE(""NSE:""&amp;C168,""open"",DATE(2026,5,2)),2,2),""N/A"")"),3065.3)</f>
        <v>3065.3</v>
      </c>
      <c r="H168" s="5">
        <f>IFERROR(__xludf.DUMMYFUNCTION("GOOGLEFINANCE(""NSE:""&amp;C168,""price"")"),3015.0)</f>
        <v>3015</v>
      </c>
      <c r="I168" s="5" t="str">
        <f t="shared" si="1"/>
        <v>🔴 -7.4%</v>
      </c>
      <c r="J168" s="5" t="str">
        <f t="shared" si="2"/>
        <v>🟢 +-8.5%</v>
      </c>
      <c r="K168" s="6" t="str">
        <f t="shared" si="3"/>
        <v>🔴 1.7%</v>
      </c>
    </row>
    <row r="169" ht="15.75" customHeight="1">
      <c r="A169" s="2">
        <v>168.0</v>
      </c>
      <c r="B169" s="2" t="s">
        <v>429</v>
      </c>
      <c r="C169" s="2" t="s">
        <v>430</v>
      </c>
      <c r="D169" s="2" t="s">
        <v>330</v>
      </c>
      <c r="E169" s="4">
        <f>IFERROR(__xludf.DUMMYFUNCTION("IFERROR(INDEX(GOOGLEFINANCE(""NSE:""&amp;C169,""open"",DATE(2026,1,1)),2,2),""N/A"")"),7615.0)</f>
        <v>7615</v>
      </c>
      <c r="F169" s="4">
        <f>IFERROR(__xludf.DUMMYFUNCTION("IFERROR(INDEX(GOOGLEFINANCE(""NSE:""&amp;C169,""open"",DATE(2026,4,1)),2,2),""N/A"")"),7148.5)</f>
        <v>7148.5</v>
      </c>
      <c r="G169" s="4">
        <f>IFERROR(__xludf.DUMMYFUNCTION("IFERROR(INDEX(GOOGLEFINANCE(""NSE:""&amp;C169,""open"",DATE(2026,5,2)),2,2),""N/A"")"),8110.5)</f>
        <v>8110.5</v>
      </c>
      <c r="H169" s="5">
        <f>IFERROR(__xludf.DUMMYFUNCTION("GOOGLEFINANCE(""NSE:""&amp;C169,""price"")"),8360.0)</f>
        <v>8360</v>
      </c>
      <c r="I169" s="5" t="str">
        <f t="shared" si="1"/>
        <v>🟢 +9.8%</v>
      </c>
      <c r="J169" s="5" t="str">
        <f t="shared" si="2"/>
        <v>🟢 +-14.5%</v>
      </c>
      <c r="K169" s="6" t="str">
        <f t="shared" si="3"/>
        <v>🟢 +-3.0%</v>
      </c>
    </row>
    <row r="170" ht="15.75" customHeight="1">
      <c r="A170" s="2">
        <v>169.0</v>
      </c>
      <c r="B170" s="2" t="s">
        <v>431</v>
      </c>
      <c r="C170" s="2" t="s">
        <v>432</v>
      </c>
      <c r="D170" s="2" t="s">
        <v>433</v>
      </c>
      <c r="E170" s="4">
        <f>IFERROR(__xludf.DUMMYFUNCTION("IFERROR(INDEX(GOOGLEFINANCE(""NSE:""&amp;C170,""open"",DATE(2026,1,1)),2,2),""N/A"")"),358.9)</f>
        <v>358.9</v>
      </c>
      <c r="F170" s="4">
        <f>IFERROR(__xludf.DUMMYFUNCTION("IFERROR(INDEX(GOOGLEFINANCE(""NSE:""&amp;C170,""open"",DATE(2026,4,1)),2,2),""N/A"")"),393.0)</f>
        <v>393</v>
      </c>
      <c r="G170" s="4">
        <f>IFERROR(__xludf.DUMMYFUNCTION("IFERROR(INDEX(GOOGLEFINANCE(""NSE:""&amp;C170,""open"",DATE(2026,5,2)),2,2),""N/A"")"),452.35)</f>
        <v>452.35</v>
      </c>
      <c r="H170" s="5">
        <f>IFERROR(__xludf.DUMMYFUNCTION("GOOGLEFINANCE(""NSE:""&amp;C170,""price"")"),456.45)</f>
        <v>456.45</v>
      </c>
      <c r="I170" s="5" t="str">
        <f t="shared" si="1"/>
        <v>🟢 +27.2%</v>
      </c>
      <c r="J170" s="5" t="str">
        <f t="shared" si="2"/>
        <v>🟢 +-13.9%</v>
      </c>
      <c r="K170" s="6" t="str">
        <f t="shared" si="3"/>
        <v>🟢 +-0.9%</v>
      </c>
    </row>
    <row r="171" ht="15.75" customHeight="1">
      <c r="A171" s="2">
        <v>170.0</v>
      </c>
      <c r="B171" s="2" t="s">
        <v>434</v>
      </c>
      <c r="C171" s="2" t="s">
        <v>435</v>
      </c>
      <c r="D171" s="2" t="s">
        <v>436</v>
      </c>
      <c r="E171" s="4">
        <f>IFERROR(__xludf.DUMMYFUNCTION("IFERROR(INDEX(GOOGLEFINANCE(""NSE:""&amp;C171,""open"",DATE(2026,1,1)),2,2),""N/A"")"),264.1)</f>
        <v>264.1</v>
      </c>
      <c r="F171" s="4">
        <f>IFERROR(__xludf.DUMMYFUNCTION("IFERROR(INDEX(GOOGLEFINANCE(""NSE:""&amp;C171,""open"",DATE(2026,4,1)),2,2),""N/A"")"),305.0)</f>
        <v>305</v>
      </c>
      <c r="G171" s="4">
        <f>IFERROR(__xludf.DUMMYFUNCTION("IFERROR(INDEX(GOOGLEFINANCE(""NSE:""&amp;C171,""open"",DATE(2026,5,2)),2,2),""N/A"")"),314.0)</f>
        <v>314</v>
      </c>
      <c r="H171" s="5">
        <f>IFERROR(__xludf.DUMMYFUNCTION("GOOGLEFINANCE(""NSE:""&amp;C171,""price"")"),318.5)</f>
        <v>318.5</v>
      </c>
      <c r="I171" s="5" t="str">
        <f t="shared" si="1"/>
        <v>🟢 +20.6%</v>
      </c>
      <c r="J171" s="5" t="str">
        <f t="shared" si="2"/>
        <v>🟢 +-4.2%</v>
      </c>
      <c r="K171" s="6" t="str">
        <f t="shared" si="3"/>
        <v>🟢 +-1.4%</v>
      </c>
    </row>
    <row r="172" ht="15.75" customHeight="1">
      <c r="A172" s="2">
        <v>171.0</v>
      </c>
      <c r="B172" s="2" t="s">
        <v>437</v>
      </c>
      <c r="C172" s="2" t="s">
        <v>438</v>
      </c>
      <c r="D172" s="2" t="s">
        <v>402</v>
      </c>
      <c r="E172" s="4">
        <f>IFERROR(__xludf.DUMMYFUNCTION("IFERROR(INDEX(GOOGLEFINANCE(""NSE:""&amp;C172,""open"",DATE(2026,1,1)),2,2),""N/A"")"),1600.0)</f>
        <v>1600</v>
      </c>
      <c r="F172" s="4">
        <f>IFERROR(__xludf.DUMMYFUNCTION("IFERROR(INDEX(GOOGLEFINANCE(""NSE:""&amp;C172,""open"",DATE(2026,4,1)),2,2),""N/A"")"),1150.0)</f>
        <v>1150</v>
      </c>
      <c r="G172" s="4">
        <f>IFERROR(__xludf.DUMMYFUNCTION("IFERROR(INDEX(GOOGLEFINANCE(""NSE:""&amp;C172,""open"",DATE(2026,5,2)),2,2),""N/A"")"),1416.5)</f>
        <v>1416.5</v>
      </c>
      <c r="H172" s="5">
        <f>IFERROR(__xludf.DUMMYFUNCTION("GOOGLEFINANCE(""NSE:""&amp;C172,""price"")"),1427.2)</f>
        <v>1427.2</v>
      </c>
      <c r="I172" s="5" t="str">
        <f t="shared" si="1"/>
        <v>🔴 -10.8%</v>
      </c>
      <c r="J172" s="5" t="str">
        <f t="shared" si="2"/>
        <v>🟢 +-19.4%</v>
      </c>
      <c r="K172" s="6" t="str">
        <f t="shared" si="3"/>
        <v>🟢 +-0.7%</v>
      </c>
    </row>
    <row r="173" ht="15.75" customHeight="1">
      <c r="A173" s="2">
        <v>172.0</v>
      </c>
      <c r="B173" s="2" t="s">
        <v>439</v>
      </c>
      <c r="C173" s="2" t="s">
        <v>440</v>
      </c>
      <c r="D173" s="2" t="s">
        <v>99</v>
      </c>
      <c r="E173" s="4">
        <f>IFERROR(__xludf.DUMMYFUNCTION("IFERROR(INDEX(GOOGLEFINANCE(""NSE:""&amp;C173,""open"",DATE(2026,1,1)),2,2),""N/A"")"),123.7)</f>
        <v>123.7</v>
      </c>
      <c r="F173" s="4">
        <f>IFERROR(__xludf.DUMMYFUNCTION("IFERROR(INDEX(GOOGLEFINANCE(""NSE:""&amp;C173,""open"",DATE(2026,4,1)),2,2),""N/A"")"),104.55)</f>
        <v>104.55</v>
      </c>
      <c r="G173" s="4">
        <f>IFERROR(__xludf.DUMMYFUNCTION("IFERROR(INDEX(GOOGLEFINANCE(""NSE:""&amp;C173,""open"",DATE(2026,5,2)),2,2),""N/A"")"),109.5)</f>
        <v>109.5</v>
      </c>
      <c r="H173" s="5">
        <f>IFERROR(__xludf.DUMMYFUNCTION("GOOGLEFINANCE(""NSE:""&amp;C173,""price"")"),108.0)</f>
        <v>108</v>
      </c>
      <c r="I173" s="5" t="str">
        <f t="shared" si="1"/>
        <v>🔴 -12.7%</v>
      </c>
      <c r="J173" s="5" t="str">
        <f t="shared" si="2"/>
        <v>🟢 +-3.2%</v>
      </c>
      <c r="K173" s="6" t="str">
        <f t="shared" si="3"/>
        <v>🔴 1.4%</v>
      </c>
    </row>
    <row r="174" ht="15.75" customHeight="1">
      <c r="A174" s="2">
        <v>173.0</v>
      </c>
      <c r="B174" s="2" t="s">
        <v>441</v>
      </c>
      <c r="C174" s="2" t="s">
        <v>442</v>
      </c>
      <c r="D174" s="2" t="s">
        <v>330</v>
      </c>
      <c r="E174" s="4">
        <f>IFERROR(__xludf.DUMMYFUNCTION("IFERROR(INDEX(GOOGLEFINANCE(""NSE:""&amp;C174,""open"",DATE(2026,1,1)),2,2),""N/A"")"),359.2)</f>
        <v>359.2</v>
      </c>
      <c r="F174" s="4">
        <f>IFERROR(__xludf.DUMMYFUNCTION("IFERROR(INDEX(GOOGLEFINANCE(""NSE:""&amp;C174,""open"",DATE(2026,4,1)),2,2),""N/A"")"),259.9)</f>
        <v>259.9</v>
      </c>
      <c r="G174" s="4">
        <f>IFERROR(__xludf.DUMMYFUNCTION("IFERROR(INDEX(GOOGLEFINANCE(""NSE:""&amp;C174,""open"",DATE(2026,5,2)),2,2),""N/A"")"),299.4)</f>
        <v>299.4</v>
      </c>
      <c r="H174" s="5">
        <f>IFERROR(__xludf.DUMMYFUNCTION("GOOGLEFINANCE(""NSE:""&amp;C174,""price"")"),301.0)</f>
        <v>301</v>
      </c>
      <c r="I174" s="5" t="str">
        <f t="shared" si="1"/>
        <v>🔴 -16.2%</v>
      </c>
      <c r="J174" s="5" t="str">
        <f t="shared" si="2"/>
        <v>🟢 +-13.7%</v>
      </c>
      <c r="K174" s="6" t="str">
        <f t="shared" si="3"/>
        <v>🟢 +-0.5%</v>
      </c>
    </row>
    <row r="175" ht="15.75" customHeight="1">
      <c r="A175" s="2">
        <v>174.0</v>
      </c>
      <c r="B175" s="2" t="s">
        <v>443</v>
      </c>
      <c r="C175" s="2" t="s">
        <v>444</v>
      </c>
      <c r="D175" s="2" t="s">
        <v>59</v>
      </c>
      <c r="E175" s="4">
        <f>IFERROR(__xludf.DUMMYFUNCTION("IFERROR(INDEX(GOOGLEFINANCE(""NSE:""&amp;C175,""open"",DATE(2026,1,1)),2,2),""N/A"")"),147.0)</f>
        <v>147</v>
      </c>
      <c r="F175" s="4">
        <f>IFERROR(__xludf.DUMMYFUNCTION("IFERROR(INDEX(GOOGLEFINANCE(""NSE:""&amp;C175,""open"",DATE(2026,4,1)),2,2),""N/A"")"),111.0)</f>
        <v>111</v>
      </c>
      <c r="G175" s="4">
        <f>IFERROR(__xludf.DUMMYFUNCTION("IFERROR(INDEX(GOOGLEFINANCE(""NSE:""&amp;C175,""open"",DATE(2026,5,2)),2,2),""N/A"")"),130.2)</f>
        <v>130.2</v>
      </c>
      <c r="H175" s="5">
        <f>IFERROR(__xludf.DUMMYFUNCTION("GOOGLEFINANCE(""NSE:""&amp;C175,""price"")"),129.39)</f>
        <v>129.39</v>
      </c>
      <c r="I175" s="5" t="str">
        <f t="shared" si="1"/>
        <v>🔴 -12.0%</v>
      </c>
      <c r="J175" s="5" t="str">
        <f t="shared" si="2"/>
        <v>🟢 +-14.2%</v>
      </c>
      <c r="K175" s="6" t="str">
        <f t="shared" si="3"/>
        <v>🔴 0.6%</v>
      </c>
    </row>
    <row r="176" ht="15.75" customHeight="1">
      <c r="A176" s="2">
        <v>175.0</v>
      </c>
      <c r="B176" s="2" t="s">
        <v>445</v>
      </c>
      <c r="C176" s="2" t="s">
        <v>446</v>
      </c>
      <c r="D176" s="2" t="s">
        <v>447</v>
      </c>
      <c r="E176" s="4">
        <f>IFERROR(__xludf.DUMMYFUNCTION("IFERROR(INDEX(GOOGLEFINANCE(""NSE:""&amp;C176,""open"",DATE(2026,1,1)),2,2),""N/A"")"),360.0)</f>
        <v>360</v>
      </c>
      <c r="F176" s="4">
        <f>IFERROR(__xludf.DUMMYFUNCTION("IFERROR(INDEX(GOOGLEFINANCE(""NSE:""&amp;C176,""open"",DATE(2026,4,1)),2,2),""N/A"")"),319.8)</f>
        <v>319.8</v>
      </c>
      <c r="G176" s="4">
        <f>IFERROR(__xludf.DUMMYFUNCTION("IFERROR(INDEX(GOOGLEFINANCE(""NSE:""&amp;C176,""open"",DATE(2026,5,2)),2,2),""N/A"")"),356.0)</f>
        <v>356</v>
      </c>
      <c r="H176" s="5">
        <f>IFERROR(__xludf.DUMMYFUNCTION("GOOGLEFINANCE(""NSE:""&amp;C176,""price"")"),357.3)</f>
        <v>357.3</v>
      </c>
      <c r="I176" s="5" t="str">
        <f t="shared" si="1"/>
        <v>🔴 -0.7%</v>
      </c>
      <c r="J176" s="5" t="str">
        <f t="shared" si="2"/>
        <v>🟢 +-10.5%</v>
      </c>
      <c r="K176" s="6" t="str">
        <f t="shared" si="3"/>
        <v>🟢 +-0.4%</v>
      </c>
    </row>
    <row r="177" ht="15.75" customHeight="1">
      <c r="A177" s="2">
        <v>176.0</v>
      </c>
      <c r="B177" s="2" t="s">
        <v>448</v>
      </c>
      <c r="C177" s="2" t="s">
        <v>449</v>
      </c>
      <c r="D177" s="2" t="s">
        <v>221</v>
      </c>
      <c r="E177" s="4">
        <f>IFERROR(__xludf.DUMMYFUNCTION("IFERROR(INDEX(GOOGLEFINANCE(""NSE:""&amp;C177,""open"",DATE(2026,1,1)),2,2),""N/A"")"),1573.7)</f>
        <v>1573.7</v>
      </c>
      <c r="F177" s="4">
        <f>IFERROR(__xludf.DUMMYFUNCTION("IFERROR(INDEX(GOOGLEFINANCE(""NSE:""&amp;C177,""open"",DATE(2026,4,1)),2,2),""N/A"")"),1384.2)</f>
        <v>1384.2</v>
      </c>
      <c r="G177" s="4">
        <f>IFERROR(__xludf.DUMMYFUNCTION("IFERROR(INDEX(GOOGLEFINANCE(""NSE:""&amp;C177,""open"",DATE(2026,5,2)),2,2),""N/A"")"),1433.4)</f>
        <v>1433.4</v>
      </c>
      <c r="H177" s="5">
        <f>IFERROR(__xludf.DUMMYFUNCTION("GOOGLEFINANCE(""NSE:""&amp;C177,""price"")"),1462.5)</f>
        <v>1462.5</v>
      </c>
      <c r="I177" s="5" t="str">
        <f t="shared" si="1"/>
        <v>🔴 -7.1%</v>
      </c>
      <c r="J177" s="5" t="str">
        <f t="shared" si="2"/>
        <v>🟢 +-5.4%</v>
      </c>
      <c r="K177" s="6" t="str">
        <f t="shared" si="3"/>
        <v>🟢 +-2.0%</v>
      </c>
    </row>
    <row r="178" ht="15.75" customHeight="1">
      <c r="A178" s="2">
        <v>177.0</v>
      </c>
      <c r="B178" s="2" t="s">
        <v>450</v>
      </c>
      <c r="C178" s="2" t="s">
        <v>451</v>
      </c>
      <c r="D178" s="2" t="s">
        <v>452</v>
      </c>
      <c r="E178" s="4">
        <f>IFERROR(__xludf.DUMMYFUNCTION("IFERROR(INDEX(GOOGLEFINANCE(""NSE:""&amp;C178,""open"",DATE(2026,1,1)),2,2),""N/A"")"),120.4)</f>
        <v>120.4</v>
      </c>
      <c r="F178" s="4">
        <f>IFERROR(__xludf.DUMMYFUNCTION("IFERROR(INDEX(GOOGLEFINANCE(""NSE:""&amp;C178,""open"",DATE(2026,4,1)),2,2),""N/A"")"),107.99)</f>
        <v>107.99</v>
      </c>
      <c r="G178" s="4">
        <f>IFERROR(__xludf.DUMMYFUNCTION("IFERROR(INDEX(GOOGLEFINANCE(""NSE:""&amp;C178,""open"",DATE(2026,5,2)),2,2),""N/A"")"),121.99)</f>
        <v>121.99</v>
      </c>
      <c r="H178" s="5">
        <f>IFERROR(__xludf.DUMMYFUNCTION("GOOGLEFINANCE(""NSE:""&amp;C178,""price"")"),120.96)</f>
        <v>120.96</v>
      </c>
      <c r="I178" s="5" t="str">
        <f t="shared" si="1"/>
        <v>🟢 +0.5%</v>
      </c>
      <c r="J178" s="5" t="str">
        <f t="shared" si="2"/>
        <v>🟢 +-10.7%</v>
      </c>
      <c r="K178" s="6" t="str">
        <f t="shared" si="3"/>
        <v>🔴 0.9%</v>
      </c>
    </row>
    <row r="179" ht="15.75" customHeight="1">
      <c r="A179" s="2">
        <v>178.0</v>
      </c>
      <c r="B179" s="2" t="s">
        <v>453</v>
      </c>
      <c r="C179" s="2" t="s">
        <v>454</v>
      </c>
      <c r="D179" s="2" t="s">
        <v>455</v>
      </c>
      <c r="E179" s="4">
        <f>IFERROR(__xludf.DUMMYFUNCTION("IFERROR(INDEX(GOOGLEFINANCE(""NSE:""&amp;C179,""open"",DATE(2026,1,1)),2,2),""N/A"")"),861.7)</f>
        <v>861.7</v>
      </c>
      <c r="F179" s="4">
        <f>IFERROR(__xludf.DUMMYFUNCTION("IFERROR(INDEX(GOOGLEFINANCE(""NSE:""&amp;C179,""open"",DATE(2026,4,1)),2,2),""N/A"")"),647.55)</f>
        <v>647.55</v>
      </c>
      <c r="G179" s="4">
        <f>IFERROR(__xludf.DUMMYFUNCTION("IFERROR(INDEX(GOOGLEFINANCE(""NSE:""&amp;C179,""open"",DATE(2026,5,2)),2,2),""N/A"")"),646.95)</f>
        <v>646.95</v>
      </c>
      <c r="H179" s="5">
        <f>IFERROR(__xludf.DUMMYFUNCTION("GOOGLEFINANCE(""NSE:""&amp;C179,""price"")"),644.2)</f>
        <v>644.2</v>
      </c>
      <c r="I179" s="5" t="str">
        <f t="shared" si="1"/>
        <v>🔴 -25.2%</v>
      </c>
      <c r="J179" s="5" t="str">
        <f t="shared" si="2"/>
        <v>🔴 0.5%</v>
      </c>
      <c r="K179" s="6" t="str">
        <f t="shared" si="3"/>
        <v>🔴 0.4%</v>
      </c>
    </row>
    <row r="180" ht="15.75" customHeight="1">
      <c r="A180" s="2">
        <v>179.0</v>
      </c>
      <c r="B180" s="2" t="s">
        <v>456</v>
      </c>
      <c r="C180" s="2" t="s">
        <v>457</v>
      </c>
      <c r="D180" s="2" t="s">
        <v>261</v>
      </c>
      <c r="E180" s="4">
        <f>IFERROR(__xludf.DUMMYFUNCTION("IFERROR(INDEX(GOOGLEFINANCE(""NSE:""&amp;C180,""open"",DATE(2026,1,1)),2,2),""N/A"")"),2034.9)</f>
        <v>2034.9</v>
      </c>
      <c r="F180" s="4">
        <f>IFERROR(__xludf.DUMMYFUNCTION("IFERROR(INDEX(GOOGLEFINANCE(""NSE:""&amp;C180,""open"",DATE(2026,4,1)),2,2),""N/A"")"),1828.4)</f>
        <v>1828.4</v>
      </c>
      <c r="G180" s="4">
        <f>IFERROR(__xludf.DUMMYFUNCTION("IFERROR(INDEX(GOOGLEFINANCE(""NSE:""&amp;C180,""open"",DATE(2026,5,2)),2,2),""N/A"")"),1810.1)</f>
        <v>1810.1</v>
      </c>
      <c r="H180" s="5">
        <f>IFERROR(__xludf.DUMMYFUNCTION("GOOGLEFINANCE(""NSE:""&amp;C180,""price"")"),1823.1)</f>
        <v>1823.1</v>
      </c>
      <c r="I180" s="5" t="str">
        <f t="shared" si="1"/>
        <v>🔴 -10.4%</v>
      </c>
      <c r="J180" s="5" t="str">
        <f t="shared" si="2"/>
        <v>🔴 0.3%</v>
      </c>
      <c r="K180" s="6" t="str">
        <f t="shared" si="3"/>
        <v>🟢 +-0.7%</v>
      </c>
    </row>
    <row r="181" ht="15.75" customHeight="1">
      <c r="A181" s="2">
        <v>180.0</v>
      </c>
      <c r="B181" s="2" t="s">
        <v>458</v>
      </c>
      <c r="C181" s="2" t="s">
        <v>459</v>
      </c>
      <c r="D181" s="2" t="s">
        <v>50</v>
      </c>
      <c r="E181" s="4">
        <f>IFERROR(__xludf.DUMMYFUNCTION("IFERROR(INDEX(GOOGLEFINANCE(""NSE:""&amp;C181,""open"",DATE(2026,1,1)),2,2),""N/A"")"),26600.0)</f>
        <v>26600</v>
      </c>
      <c r="F181" s="4">
        <f>IFERROR(__xludf.DUMMYFUNCTION("IFERROR(INDEX(GOOGLEFINANCE(""NSE:""&amp;C181,""open"",DATE(2026,4,1)),2,2),""N/A"")"),23490.0)</f>
        <v>23490</v>
      </c>
      <c r="G181" s="4">
        <f>IFERROR(__xludf.DUMMYFUNCTION("IFERROR(INDEX(GOOGLEFINANCE(""NSE:""&amp;C181,""open"",DATE(2026,5,2)),2,2),""N/A"")"),24295.0)</f>
        <v>24295</v>
      </c>
      <c r="H181" s="5">
        <f>IFERROR(__xludf.DUMMYFUNCTION("GOOGLEFINANCE(""NSE:""&amp;C181,""price"")"),24855.0)</f>
        <v>24855</v>
      </c>
      <c r="I181" s="5" t="str">
        <f t="shared" si="1"/>
        <v>🔴 -6.6%</v>
      </c>
      <c r="J181" s="5" t="str">
        <f t="shared" si="2"/>
        <v>🟢 +-5.5%</v>
      </c>
      <c r="K181" s="6" t="str">
        <f t="shared" si="3"/>
        <v>🟢 +-2.3%</v>
      </c>
    </row>
    <row r="182" ht="15.75" customHeight="1">
      <c r="A182" s="2">
        <v>181.0</v>
      </c>
      <c r="B182" s="2" t="s">
        <v>460</v>
      </c>
      <c r="C182" s="2" t="s">
        <v>461</v>
      </c>
      <c r="D182" s="2" t="s">
        <v>50</v>
      </c>
      <c r="E182" s="4">
        <f>IFERROR(__xludf.DUMMYFUNCTION("IFERROR(INDEX(GOOGLEFINANCE(""NSE:""&amp;C182,""open"",DATE(2026,1,1)),2,2),""N/A"")"),996.2)</f>
        <v>996.2</v>
      </c>
      <c r="F182" s="4">
        <f>IFERROR(__xludf.DUMMYFUNCTION("IFERROR(INDEX(GOOGLEFINANCE(""NSE:""&amp;C182,""open"",DATE(2026,4,1)),2,2),""N/A"")"),915.6)</f>
        <v>915.6</v>
      </c>
      <c r="G182" s="4">
        <f>IFERROR(__xludf.DUMMYFUNCTION("IFERROR(INDEX(GOOGLEFINANCE(""NSE:""&amp;C182,""open"",DATE(2026,5,2)),2,2),""N/A"")"),942.0)</f>
        <v>942</v>
      </c>
      <c r="H182" s="5">
        <f>IFERROR(__xludf.DUMMYFUNCTION("GOOGLEFINANCE(""NSE:""&amp;C182,""price"")"),965.0)</f>
        <v>965</v>
      </c>
      <c r="I182" s="5" t="str">
        <f t="shared" si="1"/>
        <v>🔴 -3.1%</v>
      </c>
      <c r="J182" s="5" t="str">
        <f t="shared" si="2"/>
        <v>🟢 +-5.1%</v>
      </c>
      <c r="K182" s="6" t="str">
        <f t="shared" si="3"/>
        <v>🟢 +-2.4%</v>
      </c>
    </row>
    <row r="183" ht="15.75" customHeight="1">
      <c r="A183" s="2">
        <v>182.0</v>
      </c>
      <c r="B183" s="2" t="s">
        <v>462</v>
      </c>
      <c r="C183" s="2" t="s">
        <v>463</v>
      </c>
      <c r="D183" s="2" t="s">
        <v>50</v>
      </c>
      <c r="E183" s="4">
        <f>IFERROR(__xludf.DUMMYFUNCTION("IFERROR(INDEX(GOOGLEFINANCE(""NSE:""&amp;C183,""open"",DATE(2026,1,1)),2,2),""N/A"")"),3072.0)</f>
        <v>3072</v>
      </c>
      <c r="F183" s="4">
        <f>IFERROR(__xludf.DUMMYFUNCTION("IFERROR(INDEX(GOOGLEFINANCE(""NSE:""&amp;C183,""open"",DATE(2026,4,1)),2,2),""N/A"")"),3010.0)</f>
        <v>3010</v>
      </c>
      <c r="G183" s="4">
        <f>IFERROR(__xludf.DUMMYFUNCTION("IFERROR(INDEX(GOOGLEFINANCE(""NSE:""&amp;C183,""open"",DATE(2026,5,2)),2,2),""N/A"")"),3850.0)</f>
        <v>3850</v>
      </c>
      <c r="H183" s="5">
        <f>IFERROR(__xludf.DUMMYFUNCTION("GOOGLEFINANCE(""NSE:""&amp;C183,""price"")"),3842.0)</f>
        <v>3842</v>
      </c>
      <c r="I183" s="5" t="str">
        <f t="shared" si="1"/>
        <v>🟢 +25.1%</v>
      </c>
      <c r="J183" s="5" t="str">
        <f t="shared" si="2"/>
        <v>🟢 +-21.7%</v>
      </c>
      <c r="K183" s="6" t="str">
        <f t="shared" si="3"/>
        <v>🔴 0.2%</v>
      </c>
    </row>
    <row r="184" ht="15.75" customHeight="1">
      <c r="A184" s="2">
        <v>183.0</v>
      </c>
      <c r="B184" s="2" t="s">
        <v>464</v>
      </c>
      <c r="C184" s="2" t="s">
        <v>465</v>
      </c>
      <c r="D184" s="2" t="s">
        <v>59</v>
      </c>
      <c r="E184" s="4">
        <f>IFERROR(__xludf.DUMMYFUNCTION("IFERROR(INDEX(GOOGLEFINANCE(""NSE:""&amp;C184,""open"",DATE(2026,1,1)),2,2),""N/A"")"),12335.0)</f>
        <v>12335</v>
      </c>
      <c r="F184" s="4">
        <f>IFERROR(__xludf.DUMMYFUNCTION("IFERROR(INDEX(GOOGLEFINANCE(""NSE:""&amp;C184,""open"",DATE(2026,4,1)),2,2),""N/A"")"),12420.0)</f>
        <v>12420</v>
      </c>
      <c r="G184" s="4">
        <f>IFERROR(__xludf.DUMMYFUNCTION("IFERROR(INDEX(GOOGLEFINANCE(""NSE:""&amp;C184,""open"",DATE(2026,5,2)),2,2),""N/A"")"),15562.0)</f>
        <v>15562</v>
      </c>
      <c r="H184" s="5">
        <f>IFERROR(__xludf.DUMMYFUNCTION("GOOGLEFINANCE(""NSE:""&amp;C184,""price"")"),15832.0)</f>
        <v>15832</v>
      </c>
      <c r="I184" s="5" t="str">
        <f t="shared" si="1"/>
        <v>🟢 +28.4%</v>
      </c>
      <c r="J184" s="5" t="str">
        <f t="shared" si="2"/>
        <v>🟢 +-21.6%</v>
      </c>
      <c r="K184" s="6" t="str">
        <f t="shared" si="3"/>
        <v>🟢 +-1.7%</v>
      </c>
    </row>
    <row r="185" ht="15.75" customHeight="1">
      <c r="A185" s="2">
        <v>184.0</v>
      </c>
      <c r="B185" s="2" t="s">
        <v>466</v>
      </c>
      <c r="C185" s="2" t="s">
        <v>467</v>
      </c>
      <c r="D185" s="2" t="s">
        <v>468</v>
      </c>
      <c r="E185" s="4">
        <f>IFERROR(__xludf.DUMMYFUNCTION("IFERROR(INDEX(GOOGLEFINANCE(""NSE:""&amp;C185,""open"",DATE(2026,1,1)),2,2),""N/A"")"),481.95)</f>
        <v>481.95</v>
      </c>
      <c r="F185" s="4">
        <f>IFERROR(__xludf.DUMMYFUNCTION("IFERROR(INDEX(GOOGLEFINANCE(""NSE:""&amp;C185,""open"",DATE(2026,4,1)),2,2),""N/A"")"),492.0)</f>
        <v>492</v>
      </c>
      <c r="G185" s="4">
        <f>IFERROR(__xludf.DUMMYFUNCTION("IFERROR(INDEX(GOOGLEFINANCE(""NSE:""&amp;C185,""open"",DATE(2026,5,2)),2,2),""N/A"")"),614.0)</f>
        <v>614</v>
      </c>
      <c r="H185" s="5">
        <f>IFERROR(__xludf.DUMMYFUNCTION("GOOGLEFINANCE(""NSE:""&amp;C185,""price"")"),577.0)</f>
        <v>577</v>
      </c>
      <c r="I185" s="5" t="str">
        <f t="shared" si="1"/>
        <v>🟢 +19.7%</v>
      </c>
      <c r="J185" s="5" t="str">
        <f t="shared" si="2"/>
        <v>🟢 +-14.7%</v>
      </c>
      <c r="K185" s="6" t="str">
        <f t="shared" si="3"/>
        <v>🔴 6.4%</v>
      </c>
    </row>
    <row r="186" ht="15.75" customHeight="1">
      <c r="A186" s="2">
        <v>185.0</v>
      </c>
      <c r="B186" s="2" t="s">
        <v>469</v>
      </c>
      <c r="C186" s="2" t="s">
        <v>469</v>
      </c>
      <c r="D186" s="2" t="s">
        <v>50</v>
      </c>
      <c r="E186" s="4">
        <f>IFERROR(__xludf.DUMMYFUNCTION("IFERROR(INDEX(GOOGLEFINANCE(""NSE:""&amp;C186,""open"",DATE(2026,1,1)),2,2),""N/A"")"),3077.9)</f>
        <v>3077.9</v>
      </c>
      <c r="F186" s="4">
        <f>IFERROR(__xludf.DUMMYFUNCTION("IFERROR(INDEX(GOOGLEFINANCE(""NSE:""&amp;C186,""open"",DATE(2026,4,1)),2,2),""N/A"")"),2500.4)</f>
        <v>2500.4</v>
      </c>
      <c r="G186" s="4">
        <f>IFERROR(__xludf.DUMMYFUNCTION("IFERROR(INDEX(GOOGLEFINANCE(""NSE:""&amp;C186,""open"",DATE(2026,5,2)),2,2),""N/A"")"),2520.4)</f>
        <v>2520.4</v>
      </c>
      <c r="H186" s="5">
        <f>IFERROR(__xludf.DUMMYFUNCTION("GOOGLEFINANCE(""NSE:""&amp;C186,""price"")"),2536.2)</f>
        <v>2536.2</v>
      </c>
      <c r="I186" s="5" t="str">
        <f t="shared" si="1"/>
        <v>🔴 -17.6%</v>
      </c>
      <c r="J186" s="5" t="str">
        <f t="shared" si="2"/>
        <v>🟢 +-1.4%</v>
      </c>
      <c r="K186" s="6" t="str">
        <f t="shared" si="3"/>
        <v>🟢 +-0.6%</v>
      </c>
    </row>
    <row r="187" ht="15.75" customHeight="1">
      <c r="A187" s="2">
        <v>186.0</v>
      </c>
      <c r="B187" s="2" t="s">
        <v>470</v>
      </c>
      <c r="C187" s="2" t="s">
        <v>471</v>
      </c>
      <c r="D187" s="2" t="s">
        <v>62</v>
      </c>
      <c r="E187" s="4">
        <f>IFERROR(__xludf.DUMMYFUNCTION("IFERROR(INDEX(GOOGLEFINANCE(""NSE:""&amp;C187,""open"",DATE(2026,1,1)),2,2),""N/A"")"),983.2)</f>
        <v>983.2</v>
      </c>
      <c r="F187" s="4">
        <f>IFERROR(__xludf.DUMMYFUNCTION("IFERROR(INDEX(GOOGLEFINANCE(""NSE:""&amp;C187,""open"",DATE(2026,4,1)),2,2),""N/A"")"),1008.0)</f>
        <v>1008</v>
      </c>
      <c r="G187" s="4">
        <f>IFERROR(__xludf.DUMMYFUNCTION("IFERROR(INDEX(GOOGLEFINANCE(""NSE:""&amp;C187,""open"",DATE(2026,5,2)),2,2),""N/A"")"),1063.6)</f>
        <v>1063.6</v>
      </c>
      <c r="H187" s="5">
        <f>IFERROR(__xludf.DUMMYFUNCTION("GOOGLEFINANCE(""NSE:""&amp;C187,""price"")"),1060.0)</f>
        <v>1060</v>
      </c>
      <c r="I187" s="5" t="str">
        <f t="shared" si="1"/>
        <v>🟢 +7.8%</v>
      </c>
      <c r="J187" s="5" t="str">
        <f t="shared" si="2"/>
        <v>🟢 +-4.9%</v>
      </c>
      <c r="K187" s="6" t="str">
        <f t="shared" si="3"/>
        <v>🔴 0.3%</v>
      </c>
    </row>
    <row r="188" ht="15.75" customHeight="1">
      <c r="A188" s="2">
        <v>187.0</v>
      </c>
      <c r="B188" s="2" t="s">
        <v>472</v>
      </c>
      <c r="C188" s="2" t="s">
        <v>473</v>
      </c>
      <c r="D188" s="2" t="s">
        <v>386</v>
      </c>
      <c r="E188" s="4">
        <f>IFERROR(__xludf.DUMMYFUNCTION("IFERROR(INDEX(GOOGLEFINANCE(""NSE:""&amp;C188,""open"",DATE(2026,1,1)),2,2),""N/A"")"),147.1)</f>
        <v>147.1</v>
      </c>
      <c r="F188" s="4">
        <f>IFERROR(__xludf.DUMMYFUNCTION("IFERROR(INDEX(GOOGLEFINANCE(""NSE:""&amp;C188,""open"",DATE(2026,4,1)),2,2),""N/A"")"),155.6)</f>
        <v>155.6</v>
      </c>
      <c r="G188" s="4">
        <f>IFERROR(__xludf.DUMMYFUNCTION("IFERROR(INDEX(GOOGLEFINANCE(""NSE:""&amp;C188,""open"",DATE(2026,5,2)),2,2),""N/A"")"),185.25)</f>
        <v>185.25</v>
      </c>
      <c r="H188" s="5">
        <f>IFERROR(__xludf.DUMMYFUNCTION("GOOGLEFINANCE(""NSE:""&amp;C188,""price"")"),187.7)</f>
        <v>187.7</v>
      </c>
      <c r="I188" s="5" t="str">
        <f t="shared" si="1"/>
        <v>🟢 +27.6%</v>
      </c>
      <c r="J188" s="5" t="str">
        <f t="shared" si="2"/>
        <v>🟢 +-17.1%</v>
      </c>
      <c r="K188" s="6" t="str">
        <f t="shared" si="3"/>
        <v>🟢 +-1.3%</v>
      </c>
    </row>
    <row r="189" ht="15.75" customHeight="1">
      <c r="A189" s="2">
        <v>188.0</v>
      </c>
      <c r="B189" s="2" t="s">
        <v>474</v>
      </c>
      <c r="C189" s="2" t="s">
        <v>475</v>
      </c>
      <c r="D189" s="2" t="s">
        <v>476</v>
      </c>
      <c r="E189" s="4">
        <f>IFERROR(__xludf.DUMMYFUNCTION("IFERROR(INDEX(GOOGLEFINANCE(""NSE:""&amp;C189,""open"",DATE(2026,1,1)),2,2),""N/A"")"),1720.0)</f>
        <v>1720</v>
      </c>
      <c r="F189" s="4">
        <f>IFERROR(__xludf.DUMMYFUNCTION("IFERROR(INDEX(GOOGLEFINANCE(""NSE:""&amp;C189,""open"",DATE(2026,4,1)),2,2),""N/A"")"),1762.1)</f>
        <v>1762.1</v>
      </c>
      <c r="G189" s="4">
        <f>IFERROR(__xludf.DUMMYFUNCTION("IFERROR(INDEX(GOOGLEFINANCE(""NSE:""&amp;C189,""open"",DATE(2026,5,2)),2,2),""N/A"")"),1820.0)</f>
        <v>1820</v>
      </c>
      <c r="H189" s="5">
        <f>IFERROR(__xludf.DUMMYFUNCTION("GOOGLEFINANCE(""NSE:""&amp;C189,""price"")"),1818.0)</f>
        <v>1818</v>
      </c>
      <c r="I189" s="5" t="str">
        <f t="shared" si="1"/>
        <v>🟢 +5.7%</v>
      </c>
      <c r="J189" s="5" t="str">
        <f t="shared" si="2"/>
        <v>🟢 +-3.1%</v>
      </c>
      <c r="K189" s="6" t="str">
        <f t="shared" si="3"/>
        <v>🔴 0.1%</v>
      </c>
    </row>
    <row r="190" ht="15.75" customHeight="1">
      <c r="A190" s="2">
        <v>189.0</v>
      </c>
      <c r="B190" s="2" t="s">
        <v>477</v>
      </c>
      <c r="C190" s="2" t="s">
        <v>478</v>
      </c>
      <c r="D190" s="2" t="s">
        <v>479</v>
      </c>
      <c r="E190" s="4">
        <f>IFERROR(__xludf.DUMMYFUNCTION("IFERROR(INDEX(GOOGLEFINANCE(""NSE:""&amp;C190,""open"",DATE(2026,1,1)),2,2),""N/A"")"),592.6)</f>
        <v>592.6</v>
      </c>
      <c r="F190" s="4">
        <f>IFERROR(__xludf.DUMMYFUNCTION("IFERROR(INDEX(GOOGLEFINANCE(""NSE:""&amp;C190,""open"",DATE(2026,4,1)),2,2),""N/A"")"),572.0)</f>
        <v>572</v>
      </c>
      <c r="G190" s="4">
        <f>IFERROR(__xludf.DUMMYFUNCTION("IFERROR(INDEX(GOOGLEFINANCE(""NSE:""&amp;C190,""open"",DATE(2026,5,2)),2,2),""N/A"")"),610.0)</f>
        <v>610</v>
      </c>
      <c r="H190" s="5">
        <f>IFERROR(__xludf.DUMMYFUNCTION("GOOGLEFINANCE(""NSE:""&amp;C190,""price"")"),580.0)</f>
        <v>580</v>
      </c>
      <c r="I190" s="5" t="str">
        <f t="shared" si="1"/>
        <v>🔴 -2.1%</v>
      </c>
      <c r="J190" s="5" t="str">
        <f t="shared" si="2"/>
        <v>🟢 +-1.4%</v>
      </c>
      <c r="K190" s="6" t="str">
        <f t="shared" si="3"/>
        <v>🔴 5.2%</v>
      </c>
    </row>
    <row r="191" ht="15.75" customHeight="1">
      <c r="A191" s="2">
        <v>190.0</v>
      </c>
      <c r="B191" s="2" t="s">
        <v>480</v>
      </c>
      <c r="C191" s="2" t="s">
        <v>481</v>
      </c>
      <c r="D191" s="2" t="s">
        <v>482</v>
      </c>
      <c r="E191" s="4">
        <f>IFERROR(__xludf.DUMMYFUNCTION("IFERROR(INDEX(GOOGLEFINANCE(""NSE:""&amp;C191,""open"",DATE(2026,1,1)),2,2),""N/A"")"),52.71)</f>
        <v>52.71</v>
      </c>
      <c r="F191" s="4">
        <f>IFERROR(__xludf.DUMMYFUNCTION("IFERROR(INDEX(GOOGLEFINANCE(""NSE:""&amp;C191,""open"",DATE(2026,4,1)),2,2),""N/A"")"),41.39)</f>
        <v>41.39</v>
      </c>
      <c r="G191" s="4">
        <f>IFERROR(__xludf.DUMMYFUNCTION("IFERROR(INDEX(GOOGLEFINANCE(""NSE:""&amp;C191,""open"",DATE(2026,5,2)),2,2),""N/A"")"),56.2)</f>
        <v>56.2</v>
      </c>
      <c r="H191" s="5">
        <f>IFERROR(__xludf.DUMMYFUNCTION("GOOGLEFINANCE(""NSE:""&amp;C191,""price"")"),54.92)</f>
        <v>54.92</v>
      </c>
      <c r="I191" s="5" t="str">
        <f t="shared" si="1"/>
        <v>🟢 +4.2%</v>
      </c>
      <c r="J191" s="5" t="str">
        <f t="shared" si="2"/>
        <v>🟢 +-24.6%</v>
      </c>
      <c r="K191" s="6" t="str">
        <f t="shared" si="3"/>
        <v>🔴 2.3%</v>
      </c>
    </row>
    <row r="192" ht="15.75" customHeight="1">
      <c r="A192" s="2">
        <v>191.0</v>
      </c>
      <c r="B192" s="2" t="s">
        <v>483</v>
      </c>
      <c r="C192" s="2" t="s">
        <v>484</v>
      </c>
      <c r="D192" s="2" t="s">
        <v>485</v>
      </c>
      <c r="E192" s="4">
        <f>IFERROR(__xludf.DUMMYFUNCTION("IFERROR(INDEX(GOOGLEFINANCE(""NSE:""&amp;C192,""open"",DATE(2026,1,1)),2,2),""N/A"")"),650.05)</f>
        <v>650.05</v>
      </c>
      <c r="F192" s="4">
        <f>IFERROR(__xludf.DUMMYFUNCTION("IFERROR(INDEX(GOOGLEFINANCE(""NSE:""&amp;C192,""open"",DATE(2026,4,1)),2,2),""N/A"")"),395.05)</f>
        <v>395.05</v>
      </c>
      <c r="G192" s="4">
        <f>IFERROR(__xludf.DUMMYFUNCTION("IFERROR(INDEX(GOOGLEFINANCE(""NSE:""&amp;C192,""open"",DATE(2026,5,2)),2,2),""N/A"")"),467.35)</f>
        <v>467.35</v>
      </c>
      <c r="H192" s="5">
        <f>IFERROR(__xludf.DUMMYFUNCTION("GOOGLEFINANCE(""NSE:""&amp;C192,""price"")"),451.45)</f>
        <v>451.45</v>
      </c>
      <c r="I192" s="5" t="str">
        <f t="shared" si="1"/>
        <v>🔴 -30.6%</v>
      </c>
      <c r="J192" s="5" t="str">
        <f t="shared" si="2"/>
        <v>🟢 +-12.5%</v>
      </c>
      <c r="K192" s="6" t="str">
        <f t="shared" si="3"/>
        <v>🔴 3.5%</v>
      </c>
    </row>
    <row r="193" ht="15.75" customHeight="1">
      <c r="A193" s="2">
        <v>192.0</v>
      </c>
      <c r="B193" s="2" t="s">
        <v>486</v>
      </c>
      <c r="C193" s="2" t="s">
        <v>487</v>
      </c>
      <c r="D193" s="2" t="s">
        <v>50</v>
      </c>
      <c r="E193" s="4">
        <f>IFERROR(__xludf.DUMMYFUNCTION("IFERROR(INDEX(GOOGLEFINANCE(""NSE:""&amp;C193,""open"",DATE(2026,1,1)),2,2),""N/A"")"),768.05)</f>
        <v>768.05</v>
      </c>
      <c r="F193" s="4">
        <f>IFERROR(__xludf.DUMMYFUNCTION("IFERROR(INDEX(GOOGLEFINANCE(""NSE:""&amp;C193,""open"",DATE(2026,4,1)),2,2),""N/A"")"),605.0)</f>
        <v>605</v>
      </c>
      <c r="G193" s="4">
        <f>IFERROR(__xludf.DUMMYFUNCTION("IFERROR(INDEX(GOOGLEFINANCE(""NSE:""&amp;C193,""open"",DATE(2026,5,2)),2,2),""N/A"")"),825.05)</f>
        <v>825.05</v>
      </c>
      <c r="H193" s="5">
        <f>IFERROR(__xludf.DUMMYFUNCTION("GOOGLEFINANCE(""NSE:""&amp;C193,""price"")"),797.55)</f>
        <v>797.55</v>
      </c>
      <c r="I193" s="5" t="str">
        <f t="shared" si="1"/>
        <v>🟢 +3.8%</v>
      </c>
      <c r="J193" s="5" t="str">
        <f t="shared" si="2"/>
        <v>🟢 +-24.1%</v>
      </c>
      <c r="K193" s="6" t="str">
        <f t="shared" si="3"/>
        <v>🔴 3.4%</v>
      </c>
    </row>
    <row r="194" ht="15.75" customHeight="1">
      <c r="A194" s="2">
        <v>193.0</v>
      </c>
      <c r="B194" s="2" t="s">
        <v>488</v>
      </c>
      <c r="C194" s="2" t="s">
        <v>489</v>
      </c>
      <c r="D194" s="2" t="s">
        <v>50</v>
      </c>
      <c r="E194" s="4">
        <f>IFERROR(__xludf.DUMMYFUNCTION("IFERROR(INDEX(GOOGLEFINANCE(""NSE:""&amp;C194,""open"",DATE(2026,1,1)),2,2),""N/A"")"),1825.3)</f>
        <v>1825.3</v>
      </c>
      <c r="F194" s="4">
        <f>IFERROR(__xludf.DUMMYFUNCTION("IFERROR(INDEX(GOOGLEFINANCE(""NSE:""&amp;C194,""open"",DATE(2026,4,1)),2,2),""N/A"")"),1377.2)</f>
        <v>1377.2</v>
      </c>
      <c r="G194" s="4">
        <f>IFERROR(__xludf.DUMMYFUNCTION("IFERROR(INDEX(GOOGLEFINANCE(""NSE:""&amp;C194,""open"",DATE(2026,5,2)),2,2),""N/A"")"),1586.7)</f>
        <v>1586.7</v>
      </c>
      <c r="H194" s="5">
        <f>IFERROR(__xludf.DUMMYFUNCTION("GOOGLEFINANCE(""NSE:""&amp;C194,""price"")"),1565.0)</f>
        <v>1565</v>
      </c>
      <c r="I194" s="5" t="str">
        <f t="shared" si="1"/>
        <v>🔴 -14.3%</v>
      </c>
      <c r="J194" s="5" t="str">
        <f t="shared" si="2"/>
        <v>🟢 +-12.0%</v>
      </c>
      <c r="K194" s="6" t="str">
        <f t="shared" si="3"/>
        <v>🔴 1.4%</v>
      </c>
    </row>
    <row r="195" ht="15.75" customHeight="1">
      <c r="A195" s="2">
        <v>194.0</v>
      </c>
      <c r="B195" s="2" t="s">
        <v>490</v>
      </c>
      <c r="C195" s="2" t="s">
        <v>491</v>
      </c>
      <c r="D195" s="2" t="s">
        <v>50</v>
      </c>
      <c r="E195" s="4">
        <f>IFERROR(__xludf.DUMMYFUNCTION("IFERROR(INDEX(GOOGLEFINANCE(""NSE:""&amp;C195,""open"",DATE(2026,1,1)),2,2),""N/A"")"),1192.0)</f>
        <v>1192</v>
      </c>
      <c r="F195" s="4">
        <f>IFERROR(__xludf.DUMMYFUNCTION("IFERROR(INDEX(GOOGLEFINANCE(""NSE:""&amp;C195,""open"",DATE(2026,4,1)),2,2),""N/A"")"),1025.0)</f>
        <v>1025</v>
      </c>
      <c r="G195" s="4">
        <f>IFERROR(__xludf.DUMMYFUNCTION("IFERROR(INDEX(GOOGLEFINANCE(""NSE:""&amp;C195,""open"",DATE(2026,5,2)),2,2),""N/A"")"),1149.7)</f>
        <v>1149.7</v>
      </c>
      <c r="H195" s="5">
        <f>IFERROR(__xludf.DUMMYFUNCTION("GOOGLEFINANCE(""NSE:""&amp;C195,""price"")"),1151.0)</f>
        <v>1151</v>
      </c>
      <c r="I195" s="5" t="str">
        <f t="shared" si="1"/>
        <v>🔴 -3.4%</v>
      </c>
      <c r="J195" s="5" t="str">
        <f t="shared" si="2"/>
        <v>🟢 +-10.9%</v>
      </c>
      <c r="K195" s="6" t="str">
        <f t="shared" si="3"/>
        <v>🟢 +-0.1%</v>
      </c>
    </row>
    <row r="196" ht="15.75" customHeight="1">
      <c r="A196" s="2">
        <v>195.0</v>
      </c>
      <c r="B196" s="2" t="s">
        <v>492</v>
      </c>
      <c r="C196" s="2" t="s">
        <v>493</v>
      </c>
      <c r="D196" s="2" t="s">
        <v>494</v>
      </c>
      <c r="E196" s="4">
        <f>IFERROR(__xludf.DUMMYFUNCTION("IFERROR(INDEX(GOOGLEFINANCE(""NSE:""&amp;C196,""open"",DATE(2026,1,1)),2,2),""N/A"")"),3215.0)</f>
        <v>3215</v>
      </c>
      <c r="F196" s="4">
        <f>IFERROR(__xludf.DUMMYFUNCTION("IFERROR(INDEX(GOOGLEFINANCE(""NSE:""&amp;C196,""open"",DATE(2026,4,1)),2,2),""N/A"")"),2429.0)</f>
        <v>2429</v>
      </c>
      <c r="G196" s="4">
        <f>IFERROR(__xludf.DUMMYFUNCTION("IFERROR(INDEX(GOOGLEFINANCE(""NSE:""&amp;C196,""open"",DATE(2026,5,2)),2,2),""N/A"")"),2494.0)</f>
        <v>2494</v>
      </c>
      <c r="H196" s="5">
        <f>IFERROR(__xludf.DUMMYFUNCTION("GOOGLEFINANCE(""NSE:""&amp;C196,""price"")"),2429.8)</f>
        <v>2429.8</v>
      </c>
      <c r="I196" s="5" t="str">
        <f t="shared" si="1"/>
        <v>🔴 -24.4%</v>
      </c>
      <c r="J196" s="5" t="str">
        <f t="shared" si="2"/>
        <v>🟢 +0.0%</v>
      </c>
      <c r="K196" s="6" t="str">
        <f t="shared" si="3"/>
        <v>🔴 2.6%</v>
      </c>
    </row>
    <row r="197" ht="15.75" customHeight="1">
      <c r="A197" s="2">
        <v>196.0</v>
      </c>
      <c r="B197" s="2" t="s">
        <v>495</v>
      </c>
      <c r="C197" s="2" t="s">
        <v>496</v>
      </c>
      <c r="D197" s="2" t="s">
        <v>50</v>
      </c>
      <c r="E197" s="4">
        <f>IFERROR(__xludf.DUMMYFUNCTION("IFERROR(INDEX(GOOGLEFINANCE(""NSE:""&amp;C197,""open"",DATE(2026,1,1)),2,2),""N/A"")"),5250.0)</f>
        <v>5250</v>
      </c>
      <c r="F197" s="4">
        <f>IFERROR(__xludf.DUMMYFUNCTION("IFERROR(INDEX(GOOGLEFINANCE(""NSE:""&amp;C197,""open"",DATE(2026,4,1)),2,2),""N/A"")"),4109.3)</f>
        <v>4109.3</v>
      </c>
      <c r="G197" s="4">
        <f>IFERROR(__xludf.DUMMYFUNCTION("IFERROR(INDEX(GOOGLEFINANCE(""NSE:""&amp;C197,""open"",DATE(2026,5,2)),2,2),""N/A"")"),4150.0)</f>
        <v>4150</v>
      </c>
      <c r="H197" s="5">
        <f>IFERROR(__xludf.DUMMYFUNCTION("GOOGLEFINANCE(""NSE:""&amp;C197,""price"")"),4220.5)</f>
        <v>4220.5</v>
      </c>
      <c r="I197" s="5" t="str">
        <f t="shared" si="1"/>
        <v>🔴 -19.6%</v>
      </c>
      <c r="J197" s="5" t="str">
        <f t="shared" si="2"/>
        <v>🟢 +-2.6%</v>
      </c>
      <c r="K197" s="6" t="str">
        <f t="shared" si="3"/>
        <v>🟢 +-1.7%</v>
      </c>
    </row>
    <row r="198" ht="15.75" customHeight="1">
      <c r="A198" s="2">
        <v>197.0</v>
      </c>
      <c r="B198" s="2" t="s">
        <v>497</v>
      </c>
      <c r="C198" s="2" t="s">
        <v>498</v>
      </c>
      <c r="D198" s="2" t="s">
        <v>50</v>
      </c>
      <c r="E198" s="4">
        <f>IFERROR(__xludf.DUMMYFUNCTION("IFERROR(INDEX(GOOGLEFINANCE(""NSE:""&amp;C198,""open"",DATE(2026,1,1)),2,2),""N/A"")"),698.2)</f>
        <v>698.2</v>
      </c>
      <c r="F198" s="4">
        <f>IFERROR(__xludf.DUMMYFUNCTION("IFERROR(INDEX(GOOGLEFINANCE(""NSE:""&amp;C198,""open"",DATE(2026,4,1)),2,2),""N/A"")"),573.85)</f>
        <v>573.85</v>
      </c>
      <c r="G198" s="4">
        <f>IFERROR(__xludf.DUMMYFUNCTION("IFERROR(INDEX(GOOGLEFINANCE(""NSE:""&amp;C198,""open"",DATE(2026,5,2)),2,2),""N/A"")"),730.0)</f>
        <v>730</v>
      </c>
      <c r="H198" s="5">
        <f>IFERROR(__xludf.DUMMYFUNCTION("GOOGLEFINANCE(""NSE:""&amp;C198,""price"")"),729.5)</f>
        <v>729.5</v>
      </c>
      <c r="I198" s="5" t="str">
        <f t="shared" si="1"/>
        <v>🟢 +4.5%</v>
      </c>
      <c r="J198" s="5" t="str">
        <f t="shared" si="2"/>
        <v>🟢 +-21.3%</v>
      </c>
      <c r="K198" s="6" t="str">
        <f t="shared" si="3"/>
        <v>🔴 0.1%</v>
      </c>
    </row>
    <row r="199" ht="15.75" customHeight="1">
      <c r="A199" s="2">
        <v>198.0</v>
      </c>
      <c r="B199" s="2" t="s">
        <v>499</v>
      </c>
      <c r="C199" s="2" t="s">
        <v>500</v>
      </c>
      <c r="D199" s="2" t="s">
        <v>501</v>
      </c>
      <c r="E199" s="4" t="str">
        <f>IFERROR(__xludf.DUMMYFUNCTION("IFERROR(INDEX(GOOGLEFINANCE(""NSE:""&amp;C199,""open"",DATE(2026,1,1)),2,2),""N/A"")"),"N/A")</f>
        <v>N/A</v>
      </c>
      <c r="F199" s="4" t="str">
        <f>IFERROR(__xludf.DUMMYFUNCTION("IFERROR(INDEX(GOOGLEFINANCE(""NSE:""&amp;C199,""open"",DATE(2026,4,1)),2,2),""N/A"")"),"N/A")</f>
        <v>N/A</v>
      </c>
      <c r="G199" s="4" t="str">
        <f>IFERROR(__xludf.DUMMYFUNCTION("IFERROR(INDEX(GOOGLEFINANCE(""NSE:""&amp;C199,""open"",DATE(2026,5,2)),2,2),""N/A"")"),"N/A")</f>
        <v>N/A</v>
      </c>
      <c r="H199" s="5" t="str">
        <f>IFERROR(__xludf.DUMMYFUNCTION("GOOGLEFINANCE(""NSE:""&amp;C199,""price"")"),"#N/A")</f>
        <v>#N/A</v>
      </c>
      <c r="I199" s="5" t="str">
        <f t="shared" si="1"/>
        <v>#N/A</v>
      </c>
      <c r="J199" s="5" t="str">
        <f t="shared" si="2"/>
        <v>#N/A</v>
      </c>
      <c r="K199" s="6" t="str">
        <f t="shared" si="3"/>
        <v>#N/A</v>
      </c>
    </row>
    <row r="200" ht="15.75" customHeight="1">
      <c r="A200" s="2">
        <v>199.0</v>
      </c>
      <c r="B200" s="2" t="s">
        <v>502</v>
      </c>
      <c r="C200" s="2" t="s">
        <v>503</v>
      </c>
      <c r="D200" s="2" t="s">
        <v>50</v>
      </c>
      <c r="E200" s="4">
        <f>IFERROR(__xludf.DUMMYFUNCTION("IFERROR(INDEX(GOOGLEFINANCE(""NSE:""&amp;C200,""open"",DATE(2026,1,1)),2,2),""N/A"")"),380.0)</f>
        <v>380</v>
      </c>
      <c r="F200" s="4">
        <f>IFERROR(__xludf.DUMMYFUNCTION("IFERROR(INDEX(GOOGLEFINANCE(""NSE:""&amp;C200,""open"",DATE(2026,4,1)),2,2),""N/A"")"),390.7)</f>
        <v>390.7</v>
      </c>
      <c r="G200" s="4">
        <f>IFERROR(__xludf.DUMMYFUNCTION("IFERROR(INDEX(GOOGLEFINANCE(""NSE:""&amp;C200,""open"",DATE(2026,5,2)),2,2),""N/A"")"),445.5)</f>
        <v>445.5</v>
      </c>
      <c r="H200" s="5">
        <f>IFERROR(__xludf.DUMMYFUNCTION("GOOGLEFINANCE(""NSE:""&amp;C200,""price"")"),442.1)</f>
        <v>442.1</v>
      </c>
      <c r="I200" s="5" t="str">
        <f t="shared" si="1"/>
        <v>🟢 +16.3%</v>
      </c>
      <c r="J200" s="5" t="str">
        <f t="shared" si="2"/>
        <v>🟢 +-11.6%</v>
      </c>
      <c r="K200" s="6" t="str">
        <f t="shared" si="3"/>
        <v>🔴 0.8%</v>
      </c>
    </row>
    <row r="201" ht="15.75" customHeight="1">
      <c r="A201" s="2">
        <v>200.0</v>
      </c>
      <c r="B201" s="2" t="s">
        <v>504</v>
      </c>
      <c r="C201" s="2" t="s">
        <v>505</v>
      </c>
      <c r="D201" s="2" t="s">
        <v>221</v>
      </c>
      <c r="E201" s="4">
        <f>IFERROR(__xludf.DUMMYFUNCTION("IFERROR(INDEX(GOOGLEFINANCE(""NSE:""&amp;C201,""open"",DATE(2026,1,1)),2,2),""N/A"")"),180.6)</f>
        <v>180.6</v>
      </c>
      <c r="F201" s="4">
        <f>IFERROR(__xludf.DUMMYFUNCTION("IFERROR(INDEX(GOOGLEFINANCE(""NSE:""&amp;C201,""open"",DATE(2026,4,1)),2,2),""N/A"")"),200.0)</f>
        <v>200</v>
      </c>
      <c r="G201" s="4">
        <f>IFERROR(__xludf.DUMMYFUNCTION("IFERROR(INDEX(GOOGLEFINANCE(""NSE:""&amp;C201,""open"",DATE(2026,5,2)),2,2),""N/A"")"),212.55)</f>
        <v>212.55</v>
      </c>
      <c r="H201" s="5">
        <f>IFERROR(__xludf.DUMMYFUNCTION("GOOGLEFINANCE(""NSE:""&amp;C201,""price"")"),211.48)</f>
        <v>211.48</v>
      </c>
      <c r="I201" s="5" t="str">
        <f t="shared" si="1"/>
        <v>🟢 +17.1%</v>
      </c>
      <c r="J201" s="5" t="str">
        <f t="shared" si="2"/>
        <v>🟢 +-5.4%</v>
      </c>
      <c r="K201" s="6" t="str">
        <f t="shared" si="3"/>
        <v>🔴 0.5%</v>
      </c>
    </row>
    <row r="202" ht="15.75" customHeight="1">
      <c r="A202" s="2">
        <v>201.0</v>
      </c>
      <c r="B202" s="2" t="s">
        <v>506</v>
      </c>
      <c r="C202" s="2" t="s">
        <v>507</v>
      </c>
      <c r="D202" s="2" t="s">
        <v>280</v>
      </c>
      <c r="E202" s="4">
        <f>IFERROR(__xludf.DUMMYFUNCTION("IFERROR(INDEX(GOOGLEFINANCE(""NSE:""&amp;C202,""open"",DATE(2026,1,1)),2,2),""N/A"")"),645.0)</f>
        <v>645</v>
      </c>
      <c r="F202" s="4">
        <f>IFERROR(__xludf.DUMMYFUNCTION("IFERROR(INDEX(GOOGLEFINANCE(""NSE:""&amp;C202,""open"",DATE(2026,4,1)),2,2),""N/A"")"),519.0)</f>
        <v>519</v>
      </c>
      <c r="G202" s="4">
        <f>IFERROR(__xludf.DUMMYFUNCTION("IFERROR(INDEX(GOOGLEFINANCE(""NSE:""&amp;C202,""open"",DATE(2026,5,2)),2,2),""N/A"")"),584.3)</f>
        <v>584.3</v>
      </c>
      <c r="H202" s="5">
        <f>IFERROR(__xludf.DUMMYFUNCTION("GOOGLEFINANCE(""NSE:""&amp;C202,""price"")"),627.5)</f>
        <v>627.5</v>
      </c>
      <c r="I202" s="5" t="str">
        <f t="shared" si="1"/>
        <v>🔴 -2.7%</v>
      </c>
      <c r="J202" s="5" t="str">
        <f t="shared" si="2"/>
        <v>🟢 +-17.3%</v>
      </c>
      <c r="K202" s="6" t="str">
        <f t="shared" si="3"/>
        <v>🟢 +-6.9%</v>
      </c>
    </row>
    <row r="203" ht="15.75" customHeight="1">
      <c r="A203" s="2">
        <v>202.0</v>
      </c>
      <c r="B203" s="2" t="s">
        <v>508</v>
      </c>
      <c r="C203" s="2" t="s">
        <v>509</v>
      </c>
      <c r="D203" s="2" t="s">
        <v>202</v>
      </c>
      <c r="E203" s="4">
        <f>IFERROR(__xludf.DUMMYFUNCTION("IFERROR(INDEX(GOOGLEFINANCE(""NSE:""&amp;C203,""open"",DATE(2026,1,1)),2,2),""N/A"")"),1591.0)</f>
        <v>1591</v>
      </c>
      <c r="F203" s="4">
        <f>IFERROR(__xludf.DUMMYFUNCTION("IFERROR(INDEX(GOOGLEFINANCE(""NSE:""&amp;C203,""open"",DATE(2026,4,1)),2,2),""N/A"")"),1412.6)</f>
        <v>1412.6</v>
      </c>
      <c r="G203" s="4">
        <f>IFERROR(__xludf.DUMMYFUNCTION("IFERROR(INDEX(GOOGLEFINANCE(""NSE:""&amp;C203,""open"",DATE(2026,5,2)),2,2),""N/A"")"),1484.0)</f>
        <v>1484</v>
      </c>
      <c r="H203" s="5">
        <f>IFERROR(__xludf.DUMMYFUNCTION("GOOGLEFINANCE(""NSE:""&amp;C203,""price"")"),1451.2)</f>
        <v>1451.2</v>
      </c>
      <c r="I203" s="5" t="str">
        <f t="shared" si="1"/>
        <v>🔴 -8.8%</v>
      </c>
      <c r="J203" s="5" t="str">
        <f t="shared" si="2"/>
        <v>🟢 +-2.7%</v>
      </c>
      <c r="K203" s="6" t="str">
        <f t="shared" si="3"/>
        <v>🔴 2.3%</v>
      </c>
    </row>
    <row r="204" ht="15.75" customHeight="1">
      <c r="A204" s="2">
        <v>203.0</v>
      </c>
      <c r="B204" s="2" t="s">
        <v>510</v>
      </c>
      <c r="C204" s="2" t="s">
        <v>511</v>
      </c>
      <c r="D204" s="2" t="s">
        <v>50</v>
      </c>
      <c r="E204" s="4">
        <f>IFERROR(__xludf.DUMMYFUNCTION("IFERROR(INDEX(GOOGLEFINANCE(""NSE:""&amp;C204,""open"",DATE(2026,1,1)),2,2),""N/A"")"),1060.0)</f>
        <v>1060</v>
      </c>
      <c r="F204" s="4">
        <f>IFERROR(__xludf.DUMMYFUNCTION("IFERROR(INDEX(GOOGLEFINANCE(""NSE:""&amp;C204,""open"",DATE(2026,4,1)),2,2),""N/A"")"),932.65)</f>
        <v>932.65</v>
      </c>
      <c r="G204" s="4">
        <f>IFERROR(__xludf.DUMMYFUNCTION("IFERROR(INDEX(GOOGLEFINANCE(""NSE:""&amp;C204,""open"",DATE(2026,5,2)),2,2),""N/A"")"),935.1)</f>
        <v>935.1</v>
      </c>
      <c r="H204" s="5">
        <f>IFERROR(__xludf.DUMMYFUNCTION("GOOGLEFINANCE(""NSE:""&amp;C204,""price"")"),911.15)</f>
        <v>911.15</v>
      </c>
      <c r="I204" s="5" t="str">
        <f t="shared" si="1"/>
        <v>🔴 -14.0%</v>
      </c>
      <c r="J204" s="5" t="str">
        <f t="shared" si="2"/>
        <v>🔴 2.4%</v>
      </c>
      <c r="K204" s="6" t="str">
        <f t="shared" si="3"/>
        <v>🔴 2.6%</v>
      </c>
    </row>
    <row r="205" ht="15.75" customHeight="1">
      <c r="A205" s="2">
        <v>204.0</v>
      </c>
      <c r="B205" s="2" t="s">
        <v>512</v>
      </c>
      <c r="C205" s="2" t="s">
        <v>513</v>
      </c>
      <c r="D205" s="2" t="s">
        <v>99</v>
      </c>
      <c r="E205" s="4">
        <f>IFERROR(__xludf.DUMMYFUNCTION("IFERROR(INDEX(GOOGLEFINANCE(""NSE:""&amp;C205,""open"",DATE(2026,1,1)),2,2),""N/A"")"),4063.7)</f>
        <v>4063.7</v>
      </c>
      <c r="F205" s="4">
        <f>IFERROR(__xludf.DUMMYFUNCTION("IFERROR(INDEX(GOOGLEFINANCE(""NSE:""&amp;C205,""open"",DATE(2026,4,1)),2,2),""N/A"")"),4000.0)</f>
        <v>4000</v>
      </c>
      <c r="G205" s="4">
        <f>IFERROR(__xludf.DUMMYFUNCTION("IFERROR(INDEX(GOOGLEFINANCE(""NSE:""&amp;C205,""open"",DATE(2026,5,2)),2,2),""N/A"")"),4407.1)</f>
        <v>4407.1</v>
      </c>
      <c r="H205" s="5">
        <f>IFERROR(__xludf.DUMMYFUNCTION("GOOGLEFINANCE(""NSE:""&amp;C205,""price"")"),4390.0)</f>
        <v>4390</v>
      </c>
      <c r="I205" s="5" t="str">
        <f t="shared" si="1"/>
        <v>🟢 +8.0%</v>
      </c>
      <c r="J205" s="5" t="str">
        <f t="shared" si="2"/>
        <v>🟢 +-8.9%</v>
      </c>
      <c r="K205" s="6" t="str">
        <f t="shared" si="3"/>
        <v>🔴 0.4%</v>
      </c>
    </row>
    <row r="206" ht="15.75" customHeight="1">
      <c r="A206" s="2">
        <v>205.0</v>
      </c>
      <c r="B206" s="2" t="s">
        <v>514</v>
      </c>
      <c r="C206" s="2" t="s">
        <v>515</v>
      </c>
      <c r="D206" s="2" t="s">
        <v>120</v>
      </c>
      <c r="E206" s="4">
        <f>IFERROR(__xludf.DUMMYFUNCTION("IFERROR(INDEX(GOOGLEFINANCE(""NSE:""&amp;C206,""open"",DATE(2026,1,1)),2,2),""N/A"")"),3860.0)</f>
        <v>3860</v>
      </c>
      <c r="F206" s="4">
        <f>IFERROR(__xludf.DUMMYFUNCTION("IFERROR(INDEX(GOOGLEFINANCE(""NSE:""&amp;C206,""open"",DATE(2026,4,1)),2,2),""N/A"")"),4277.6)</f>
        <v>4277.6</v>
      </c>
      <c r="G206" s="4">
        <f>IFERROR(__xludf.DUMMYFUNCTION("IFERROR(INDEX(GOOGLEFINANCE(""NSE:""&amp;C206,""open"",DATE(2026,5,2)),2,2),""N/A"")"),4223.2)</f>
        <v>4223.2</v>
      </c>
      <c r="H206" s="5">
        <f>IFERROR(__xludf.DUMMYFUNCTION("GOOGLEFINANCE(""NSE:""&amp;C206,""price"")"),4289.9)</f>
        <v>4289.9</v>
      </c>
      <c r="I206" s="5" t="str">
        <f t="shared" si="1"/>
        <v>🟢 +11.1%</v>
      </c>
      <c r="J206" s="5" t="str">
        <f t="shared" si="2"/>
        <v>🟢 +-0.3%</v>
      </c>
      <c r="K206" s="6" t="str">
        <f t="shared" si="3"/>
        <v>🟢 +-1.6%</v>
      </c>
    </row>
    <row r="207" ht="15.75" customHeight="1">
      <c r="A207" s="2">
        <v>206.0</v>
      </c>
      <c r="B207" s="2" t="s">
        <v>516</v>
      </c>
      <c r="C207" s="2" t="s">
        <v>517</v>
      </c>
      <c r="D207" s="2" t="s">
        <v>518</v>
      </c>
      <c r="E207" s="4">
        <f>IFERROR(__xludf.DUMMYFUNCTION("IFERROR(INDEX(GOOGLEFINANCE(""NSE:""&amp;C207,""open"",DATE(2026,1,1)),2,2),""N/A"")"),1301.5)</f>
        <v>1301.5</v>
      </c>
      <c r="F207" s="4">
        <f>IFERROR(__xludf.DUMMYFUNCTION("IFERROR(INDEX(GOOGLEFINANCE(""NSE:""&amp;C207,""open"",DATE(2026,4,1)),2,2),""N/A"")"),1345.0)</f>
        <v>1345</v>
      </c>
      <c r="G207" s="4">
        <f>IFERROR(__xludf.DUMMYFUNCTION("IFERROR(INDEX(GOOGLEFINANCE(""NSE:""&amp;C207,""open"",DATE(2026,5,2)),2,2),""N/A"")"),1748.3)</f>
        <v>1748.3</v>
      </c>
      <c r="H207" s="5">
        <f>IFERROR(__xludf.DUMMYFUNCTION("GOOGLEFINANCE(""NSE:""&amp;C207,""price"")"),1720.0)</f>
        <v>1720</v>
      </c>
      <c r="I207" s="5" t="str">
        <f t="shared" si="1"/>
        <v>🟢 +32.2%</v>
      </c>
      <c r="J207" s="5" t="str">
        <f t="shared" si="2"/>
        <v>🟢 +-21.8%</v>
      </c>
      <c r="K207" s="6" t="str">
        <f t="shared" si="3"/>
        <v>🔴 1.6%</v>
      </c>
    </row>
    <row r="208" ht="15.75" customHeight="1">
      <c r="A208" s="2">
        <v>207.0</v>
      </c>
      <c r="B208" s="2" t="s">
        <v>519</v>
      </c>
      <c r="C208" s="2" t="s">
        <v>520</v>
      </c>
      <c r="D208" s="2" t="s">
        <v>99</v>
      </c>
      <c r="E208" s="4">
        <f>IFERROR(__xludf.DUMMYFUNCTION("IFERROR(INDEX(GOOGLEFINANCE(""NSE:""&amp;C208,""open"",DATE(2026,1,1)),2,2),""N/A"")"),4279.0)</f>
        <v>4279</v>
      </c>
      <c r="F208" s="4">
        <f>IFERROR(__xludf.DUMMYFUNCTION("IFERROR(INDEX(GOOGLEFINANCE(""NSE:""&amp;C208,""open"",DATE(2026,4,1)),2,2),""N/A"")"),3447.0)</f>
        <v>3447</v>
      </c>
      <c r="G208" s="4">
        <f>IFERROR(__xludf.DUMMYFUNCTION("IFERROR(INDEX(GOOGLEFINANCE(""NSE:""&amp;C208,""open"",DATE(2026,5,2)),2,2),""N/A"")"),4135.0)</f>
        <v>4135</v>
      </c>
      <c r="H208" s="5">
        <f>IFERROR(__xludf.DUMMYFUNCTION("GOOGLEFINANCE(""NSE:""&amp;C208,""price"")"),4144.9)</f>
        <v>4144.9</v>
      </c>
      <c r="I208" s="5" t="str">
        <f t="shared" si="1"/>
        <v>🔴 -3.1%</v>
      </c>
      <c r="J208" s="5" t="str">
        <f t="shared" si="2"/>
        <v>🟢 +-16.8%</v>
      </c>
      <c r="K208" s="6" t="str">
        <f t="shared" si="3"/>
        <v>🟢 +-0.2%</v>
      </c>
    </row>
    <row r="209" ht="15.75" customHeight="1">
      <c r="A209" s="2">
        <v>208.0</v>
      </c>
      <c r="B209" s="2" t="s">
        <v>521</v>
      </c>
      <c r="C209" s="2" t="s">
        <v>522</v>
      </c>
      <c r="D209" s="2" t="s">
        <v>146</v>
      </c>
      <c r="E209" s="4">
        <f>IFERROR(__xludf.DUMMYFUNCTION("IFERROR(INDEX(GOOGLEFINANCE(""NSE:""&amp;C209,""open"",DATE(2026,1,1)),2,2),""N/A"")"),2614.1)</f>
        <v>2614.1</v>
      </c>
      <c r="F209" s="4">
        <f>IFERROR(__xludf.DUMMYFUNCTION("IFERROR(INDEX(GOOGLEFINANCE(""NSE:""&amp;C209,""open"",DATE(2026,4,1)),2,2),""N/A"")"),2630.0)</f>
        <v>2630</v>
      </c>
      <c r="G209" s="4">
        <f>IFERROR(__xludf.DUMMYFUNCTION("IFERROR(INDEX(GOOGLEFINANCE(""NSE:""&amp;C209,""open"",DATE(2026,5,2)),2,2),""N/A"")"),2972.6)</f>
        <v>2972.6</v>
      </c>
      <c r="H209" s="5">
        <f>IFERROR(__xludf.DUMMYFUNCTION("GOOGLEFINANCE(""NSE:""&amp;C209,""price"")"),2936.7)</f>
        <v>2936.7</v>
      </c>
      <c r="I209" s="5" t="str">
        <f t="shared" si="1"/>
        <v>🟢 +12.3%</v>
      </c>
      <c r="J209" s="5" t="str">
        <f t="shared" si="2"/>
        <v>🟢 +-10.4%</v>
      </c>
      <c r="K209" s="6" t="str">
        <f t="shared" si="3"/>
        <v>🔴 1.2%</v>
      </c>
    </row>
    <row r="210" ht="15.75" customHeight="1">
      <c r="A210" s="2">
        <v>209.0</v>
      </c>
      <c r="B210" s="2" t="s">
        <v>523</v>
      </c>
      <c r="C210" s="2" t="s">
        <v>524</v>
      </c>
      <c r="D210" s="2" t="s">
        <v>177</v>
      </c>
      <c r="E210" s="4">
        <f>IFERROR(__xludf.DUMMYFUNCTION("IFERROR(INDEX(GOOGLEFINANCE(""NSE:""&amp;C210,""open"",DATE(2026,1,1)),2,2),""N/A"")"),3737.0)</f>
        <v>3737</v>
      </c>
      <c r="F210" s="4">
        <f>IFERROR(__xludf.DUMMYFUNCTION("IFERROR(INDEX(GOOGLEFINANCE(""NSE:""&amp;C210,""open"",DATE(2026,4,1)),2,2),""N/A"")"),3434.7)</f>
        <v>3434.7</v>
      </c>
      <c r="G210" s="4">
        <f>IFERROR(__xludf.DUMMYFUNCTION("IFERROR(INDEX(GOOGLEFINANCE(""NSE:""&amp;C210,""open"",DATE(2026,5,2)),2,2),""N/A"")"),3400.0)</f>
        <v>3400</v>
      </c>
      <c r="H210" s="5">
        <f>IFERROR(__xludf.DUMMYFUNCTION("GOOGLEFINANCE(""NSE:""&amp;C210,""price"")"),3532.0)</f>
        <v>3532</v>
      </c>
      <c r="I210" s="5" t="str">
        <f t="shared" si="1"/>
        <v>🔴 -5.5%</v>
      </c>
      <c r="J210" s="5" t="str">
        <f t="shared" si="2"/>
        <v>🟢 +-2.8%</v>
      </c>
      <c r="K210" s="6" t="str">
        <f t="shared" si="3"/>
        <v>🟢 +-3.7%</v>
      </c>
    </row>
    <row r="211" ht="15.75" customHeight="1">
      <c r="A211" s="2">
        <v>210.0</v>
      </c>
      <c r="B211" s="2" t="s">
        <v>525</v>
      </c>
      <c r="C211" s="2" t="s">
        <v>526</v>
      </c>
      <c r="D211" s="2" t="s">
        <v>494</v>
      </c>
      <c r="E211" s="4">
        <f>IFERROR(__xludf.DUMMYFUNCTION("IFERROR(INDEX(GOOGLEFINANCE(""NSE:""&amp;C211,""open"",DATE(2026,1,1)),2,2),""N/A"")"),11792.0)</f>
        <v>11792</v>
      </c>
      <c r="F211" s="4">
        <f>IFERROR(__xludf.DUMMYFUNCTION("IFERROR(INDEX(GOOGLEFINANCE(""NSE:""&amp;C211,""open"",DATE(2026,4,1)),2,2),""N/A"")"),10802.0)</f>
        <v>10802</v>
      </c>
      <c r="G211" s="4">
        <f>IFERROR(__xludf.DUMMYFUNCTION("IFERROR(INDEX(GOOGLEFINANCE(""NSE:""&amp;C211,""open"",DATE(2026,5,2)),2,2),""N/A"")"),11670.0)</f>
        <v>11670</v>
      </c>
      <c r="H211" s="5">
        <f>IFERROR(__xludf.DUMMYFUNCTION("GOOGLEFINANCE(""NSE:""&amp;C211,""price"")"),11939.0)</f>
        <v>11939</v>
      </c>
      <c r="I211" s="5" t="str">
        <f t="shared" si="1"/>
        <v>🟢 +1.2%</v>
      </c>
      <c r="J211" s="5" t="str">
        <f t="shared" si="2"/>
        <v>🟢 +-9.5%</v>
      </c>
      <c r="K211" s="6" t="str">
        <f t="shared" si="3"/>
        <v>🟢 +-2.3%</v>
      </c>
    </row>
    <row r="212" ht="15.75" customHeight="1">
      <c r="A212" s="2">
        <v>211.0</v>
      </c>
      <c r="B212" s="2" t="s">
        <v>527</v>
      </c>
      <c r="C212" s="2" t="s">
        <v>528</v>
      </c>
      <c r="D212" s="2" t="s">
        <v>56</v>
      </c>
      <c r="E212" s="4">
        <f>IFERROR(__xludf.DUMMYFUNCTION("IFERROR(INDEX(GOOGLEFINANCE(""NSE:""&amp;C212,""open"",DATE(2026,1,1)),2,2),""N/A"")"),154.2)</f>
        <v>154.2</v>
      </c>
      <c r="F212" s="4">
        <f>IFERROR(__xludf.DUMMYFUNCTION("IFERROR(INDEX(GOOGLEFINANCE(""NSE:""&amp;C212,""open"",DATE(2026,4,1)),2,2),""N/A"")"),171.0)</f>
        <v>171</v>
      </c>
      <c r="G212" s="4">
        <f>IFERROR(__xludf.DUMMYFUNCTION("IFERROR(INDEX(GOOGLEFINANCE(""NSE:""&amp;C212,""open"",DATE(2026,5,2)),2,2),""N/A"")"),167.0)</f>
        <v>167</v>
      </c>
      <c r="H212" s="5">
        <f>IFERROR(__xludf.DUMMYFUNCTION("GOOGLEFINANCE(""NSE:""&amp;C212,""price"")"),163.9)</f>
        <v>163.9</v>
      </c>
      <c r="I212" s="5" t="str">
        <f t="shared" si="1"/>
        <v>🟢 +6.3%</v>
      </c>
      <c r="J212" s="5" t="str">
        <f t="shared" si="2"/>
        <v>🔴 4.3%</v>
      </c>
      <c r="K212" s="6" t="str">
        <f t="shared" si="3"/>
        <v>🔴 1.9%</v>
      </c>
    </row>
    <row r="213" ht="15.75" customHeight="1">
      <c r="A213" s="2">
        <v>212.0</v>
      </c>
      <c r="B213" s="2" t="s">
        <v>529</v>
      </c>
      <c r="C213" s="2" t="s">
        <v>530</v>
      </c>
      <c r="D213" s="2" t="s">
        <v>50</v>
      </c>
      <c r="E213" s="4">
        <f>IFERROR(__xludf.DUMMYFUNCTION("IFERROR(INDEX(GOOGLEFINANCE(""NSE:""&amp;C213,""open"",DATE(2026,1,1)),2,2),""N/A"")"),1629.7)</f>
        <v>1629.7</v>
      </c>
      <c r="F213" s="4">
        <f>IFERROR(__xludf.DUMMYFUNCTION("IFERROR(INDEX(GOOGLEFINANCE(""NSE:""&amp;C213,""open"",DATE(2026,4,1)),2,2),""N/A"")"),1580.0)</f>
        <v>1580</v>
      </c>
      <c r="G213" s="4">
        <f>IFERROR(__xludf.DUMMYFUNCTION("IFERROR(INDEX(GOOGLEFINANCE(""NSE:""&amp;C213,""open"",DATE(2026,5,2)),2,2),""N/A"")"),1464.7)</f>
        <v>1464.7</v>
      </c>
      <c r="H213" s="5">
        <f>IFERROR(__xludf.DUMMYFUNCTION("GOOGLEFINANCE(""NSE:""&amp;C213,""price"")"),1453.0)</f>
        <v>1453</v>
      </c>
      <c r="I213" s="5" t="str">
        <f t="shared" si="1"/>
        <v>🔴 -10.8%</v>
      </c>
      <c r="J213" s="5" t="str">
        <f t="shared" si="2"/>
        <v>🔴 8.7%</v>
      </c>
      <c r="K213" s="6" t="str">
        <f t="shared" si="3"/>
        <v>🔴 0.8%</v>
      </c>
    </row>
    <row r="214" ht="15.75" customHeight="1">
      <c r="A214" s="2">
        <v>213.0</v>
      </c>
      <c r="B214" s="2" t="s">
        <v>531</v>
      </c>
      <c r="C214" s="2" t="s">
        <v>532</v>
      </c>
      <c r="D214" s="2" t="s">
        <v>99</v>
      </c>
      <c r="E214" s="4">
        <f>IFERROR(__xludf.DUMMYFUNCTION("IFERROR(INDEX(GOOGLEFINANCE(""NSE:""&amp;C214,""open"",DATE(2026,1,1)),2,2),""N/A"")"),1447.5)</f>
        <v>1447.5</v>
      </c>
      <c r="F214" s="4">
        <f>IFERROR(__xludf.DUMMYFUNCTION("IFERROR(INDEX(GOOGLEFINANCE(""NSE:""&amp;C214,""open"",DATE(2026,4,1)),2,2),""N/A"")"),1262.5)</f>
        <v>1262.5</v>
      </c>
      <c r="G214" s="4">
        <f>IFERROR(__xludf.DUMMYFUNCTION("IFERROR(INDEX(GOOGLEFINANCE(""NSE:""&amp;C214,""open"",DATE(2026,5,2)),2,2),""N/A"")"),1334.7)</f>
        <v>1334.7</v>
      </c>
      <c r="H214" s="5">
        <f>IFERROR(__xludf.DUMMYFUNCTION("GOOGLEFINANCE(""NSE:""&amp;C214,""price"")"),1314.0)</f>
        <v>1314</v>
      </c>
      <c r="I214" s="5" t="str">
        <f t="shared" si="1"/>
        <v>🔴 -9.2%</v>
      </c>
      <c r="J214" s="5" t="str">
        <f t="shared" si="2"/>
        <v>🟢 +-3.9%</v>
      </c>
      <c r="K214" s="6" t="str">
        <f t="shared" si="3"/>
        <v>🔴 1.6%</v>
      </c>
    </row>
    <row r="215" ht="15.75" customHeight="1">
      <c r="A215" s="2">
        <v>214.0</v>
      </c>
      <c r="B215" s="2" t="s">
        <v>533</v>
      </c>
      <c r="C215" s="2" t="s">
        <v>534</v>
      </c>
      <c r="D215" s="2" t="s">
        <v>50</v>
      </c>
      <c r="E215" s="4">
        <f>IFERROR(__xludf.DUMMYFUNCTION("IFERROR(INDEX(GOOGLEFINANCE(""NSE:""&amp;C215,""open"",DATE(2026,1,1)),2,2),""N/A"")"),1283.1)</f>
        <v>1283.1</v>
      </c>
      <c r="F215" s="4">
        <f>IFERROR(__xludf.DUMMYFUNCTION("IFERROR(INDEX(GOOGLEFINANCE(""NSE:""&amp;C215,""open"",DATE(2026,4,1)),2,2),""N/A"")"),1061.0)</f>
        <v>1061</v>
      </c>
      <c r="G215" s="4">
        <f>IFERROR(__xludf.DUMMYFUNCTION("IFERROR(INDEX(GOOGLEFINANCE(""NSE:""&amp;C215,""open"",DATE(2026,5,2)),2,2),""N/A"")"),1123.5)</f>
        <v>1123.5</v>
      </c>
      <c r="H215" s="5">
        <f>IFERROR(__xludf.DUMMYFUNCTION("GOOGLEFINANCE(""NSE:""&amp;C215,""price"")"),1088.0)</f>
        <v>1088</v>
      </c>
      <c r="I215" s="5" t="str">
        <f t="shared" si="1"/>
        <v>🔴 -15.2%</v>
      </c>
      <c r="J215" s="5" t="str">
        <f t="shared" si="2"/>
        <v>🟢 +-2.5%</v>
      </c>
      <c r="K215" s="6" t="str">
        <f t="shared" si="3"/>
        <v>🔴 3.3%</v>
      </c>
    </row>
    <row r="216" ht="15.75" customHeight="1">
      <c r="A216" s="2">
        <v>215.0</v>
      </c>
      <c r="B216" s="2" t="s">
        <v>535</v>
      </c>
      <c r="C216" s="2" t="s">
        <v>535</v>
      </c>
      <c r="D216" s="2" t="s">
        <v>50</v>
      </c>
      <c r="E216" s="4">
        <f>IFERROR(__xludf.DUMMYFUNCTION("IFERROR(INDEX(GOOGLEFINANCE(""NSE:""&amp;C216,""open"",DATE(2026,1,1)),2,2),""N/A"")"),797.3)</f>
        <v>797.3</v>
      </c>
      <c r="F216" s="4">
        <f>IFERROR(__xludf.DUMMYFUNCTION("IFERROR(INDEX(GOOGLEFINANCE(""NSE:""&amp;C216,""open"",DATE(2026,4,1)),2,2),""N/A"")"),573.0)</f>
        <v>573</v>
      </c>
      <c r="G216" s="4">
        <f>IFERROR(__xludf.DUMMYFUNCTION("IFERROR(INDEX(GOOGLEFINANCE(""NSE:""&amp;C216,""open"",DATE(2026,5,2)),2,2),""N/A"")"),645.9)</f>
        <v>645.9</v>
      </c>
      <c r="H216" s="5">
        <f>IFERROR(__xludf.DUMMYFUNCTION("GOOGLEFINANCE(""NSE:""&amp;C216,""price"")"),642.0)</f>
        <v>642</v>
      </c>
      <c r="I216" s="5" t="str">
        <f t="shared" si="1"/>
        <v>🔴 -19.5%</v>
      </c>
      <c r="J216" s="5" t="str">
        <f t="shared" si="2"/>
        <v>🟢 +-10.7%</v>
      </c>
      <c r="K216" s="6" t="str">
        <f t="shared" si="3"/>
        <v>🔴 0.6%</v>
      </c>
    </row>
    <row r="217" ht="15.75" customHeight="1">
      <c r="A217" s="2">
        <v>216.0</v>
      </c>
      <c r="B217" s="2" t="s">
        <v>536</v>
      </c>
      <c r="C217" s="2" t="s">
        <v>537</v>
      </c>
      <c r="D217" s="2" t="s">
        <v>538</v>
      </c>
      <c r="E217" s="4">
        <f>IFERROR(__xludf.DUMMYFUNCTION("IFERROR(INDEX(GOOGLEFINANCE(""NSE:""&amp;C217,""open"",DATE(2026,1,1)),2,2),""N/A"")"),490.05)</f>
        <v>490.05</v>
      </c>
      <c r="F217" s="4">
        <f>IFERROR(__xludf.DUMMYFUNCTION("IFERROR(INDEX(GOOGLEFINANCE(""NSE:""&amp;C217,""open"",DATE(2026,4,1)),2,2),""N/A"")"),397.3)</f>
        <v>397.3</v>
      </c>
      <c r="G217" s="4">
        <f>IFERROR(__xludf.DUMMYFUNCTION("IFERROR(INDEX(GOOGLEFINANCE(""NSE:""&amp;C217,""open"",DATE(2026,5,2)),2,2),""N/A"")"),513.7)</f>
        <v>513.7</v>
      </c>
      <c r="H217" s="5">
        <f>IFERROR(__xludf.DUMMYFUNCTION("GOOGLEFINANCE(""NSE:""&amp;C217,""price"")"),512.4)</f>
        <v>512.4</v>
      </c>
      <c r="I217" s="5" t="str">
        <f t="shared" si="1"/>
        <v>🟢 +4.6%</v>
      </c>
      <c r="J217" s="5" t="str">
        <f t="shared" si="2"/>
        <v>🟢 +-22.5%</v>
      </c>
      <c r="K217" s="6" t="str">
        <f t="shared" si="3"/>
        <v>🔴 0.3%</v>
      </c>
    </row>
    <row r="218" ht="15.75" customHeight="1">
      <c r="A218" s="2">
        <v>217.0</v>
      </c>
      <c r="B218" s="2" t="s">
        <v>539</v>
      </c>
      <c r="C218" s="2" t="s">
        <v>540</v>
      </c>
      <c r="D218" s="2" t="s">
        <v>50</v>
      </c>
      <c r="E218" s="4">
        <f>IFERROR(__xludf.DUMMYFUNCTION("IFERROR(INDEX(GOOGLEFINANCE(""NSE:""&amp;C218,""open"",DATE(2026,1,1)),2,2),""N/A"")"),603.0)</f>
        <v>603</v>
      </c>
      <c r="F218" s="4">
        <f>IFERROR(__xludf.DUMMYFUNCTION("IFERROR(INDEX(GOOGLEFINANCE(""NSE:""&amp;C218,""open"",DATE(2026,4,1)),2,2),""N/A"")"),664.0)</f>
        <v>664</v>
      </c>
      <c r="G218" s="4">
        <f>IFERROR(__xludf.DUMMYFUNCTION("IFERROR(INDEX(GOOGLEFINANCE(""NSE:""&amp;C218,""open"",DATE(2026,5,2)),2,2),""N/A"")"),277.0)</f>
        <v>277</v>
      </c>
      <c r="H218" s="5">
        <f>IFERROR(__xludf.DUMMYFUNCTION("GOOGLEFINANCE(""NSE:""&amp;C218,""price"")"),305.25)</f>
        <v>305.25</v>
      </c>
      <c r="I218" s="5" t="str">
        <f t="shared" si="1"/>
        <v>🔴 -49.4%</v>
      </c>
      <c r="J218" s="5" t="str">
        <f t="shared" si="2"/>
        <v>🔴 117.5%</v>
      </c>
      <c r="K218" s="6" t="str">
        <f t="shared" si="3"/>
        <v>🟢 +-9.3%</v>
      </c>
    </row>
    <row r="219" ht="15.75" customHeight="1">
      <c r="A219" s="2">
        <v>218.0</v>
      </c>
      <c r="B219" s="2" t="s">
        <v>541</v>
      </c>
      <c r="C219" s="2" t="s">
        <v>542</v>
      </c>
      <c r="D219" s="2" t="s">
        <v>59</v>
      </c>
      <c r="E219" s="4">
        <f>IFERROR(__xludf.DUMMYFUNCTION("IFERROR(INDEX(GOOGLEFINANCE(""NSE:""&amp;C219,""open"",DATE(2026,1,1)),2,2),""N/A"")"),11.2)</f>
        <v>11.2</v>
      </c>
      <c r="F219" s="4">
        <f>IFERROR(__xludf.DUMMYFUNCTION("IFERROR(INDEX(GOOGLEFINANCE(""NSE:""&amp;C219,""open"",DATE(2026,4,1)),2,2),""N/A"")"),8.94)</f>
        <v>8.94</v>
      </c>
      <c r="G219" s="4">
        <f>IFERROR(__xludf.DUMMYFUNCTION("IFERROR(INDEX(GOOGLEFINANCE(""NSE:""&amp;C219,""open"",DATE(2026,5,2)),2,2),""N/A"")"),11.0)</f>
        <v>11</v>
      </c>
      <c r="H219" s="5">
        <f>IFERROR(__xludf.DUMMYFUNCTION("GOOGLEFINANCE(""NSE:""&amp;C219,""price"")"),10.82)</f>
        <v>10.82</v>
      </c>
      <c r="I219" s="5" t="str">
        <f t="shared" si="1"/>
        <v>🔴 -3.4%</v>
      </c>
      <c r="J219" s="5" t="str">
        <f t="shared" si="2"/>
        <v>🟢 +-17.4%</v>
      </c>
      <c r="K219" s="6" t="str">
        <f t="shared" si="3"/>
        <v>🔴 1.7%</v>
      </c>
    </row>
    <row r="220" ht="15.75" customHeight="1">
      <c r="A220" s="2">
        <v>219.0</v>
      </c>
      <c r="B220" s="2" t="s">
        <v>543</v>
      </c>
      <c r="C220" s="2" t="s">
        <v>544</v>
      </c>
      <c r="D220" s="2" t="s">
        <v>50</v>
      </c>
      <c r="E220" s="4">
        <f>IFERROR(__xludf.DUMMYFUNCTION("IFERROR(INDEX(GOOGLEFINANCE(""NSE:""&amp;C220,""open"",DATE(2026,1,1)),2,2),""N/A"")"),1361.2)</f>
        <v>1361.2</v>
      </c>
      <c r="F220" s="4">
        <f>IFERROR(__xludf.DUMMYFUNCTION("IFERROR(INDEX(GOOGLEFINANCE(""NSE:""&amp;C220,""open"",DATE(2026,4,1)),2,2),""N/A"")"),1300.0)</f>
        <v>1300</v>
      </c>
      <c r="G220" s="4">
        <f>IFERROR(__xludf.DUMMYFUNCTION("IFERROR(INDEX(GOOGLEFINANCE(""NSE:""&amp;C220,""open"",DATE(2026,5,2)),2,2),""N/A"")"),1445.2)</f>
        <v>1445.2</v>
      </c>
      <c r="H220" s="5">
        <f>IFERROR(__xludf.DUMMYFUNCTION("GOOGLEFINANCE(""NSE:""&amp;C220,""price"")"),1365.0)</f>
        <v>1365</v>
      </c>
      <c r="I220" s="5" t="str">
        <f t="shared" si="1"/>
        <v>🟢 +0.3%</v>
      </c>
      <c r="J220" s="5" t="str">
        <f t="shared" si="2"/>
        <v>🟢 +-4.8%</v>
      </c>
      <c r="K220" s="6" t="str">
        <f t="shared" si="3"/>
        <v>🔴 5.9%</v>
      </c>
    </row>
    <row r="221" ht="15.75" customHeight="1">
      <c r="A221" s="2">
        <v>220.0</v>
      </c>
      <c r="B221" s="2" t="s">
        <v>545</v>
      </c>
      <c r="C221" s="2" t="s">
        <v>546</v>
      </c>
      <c r="D221" s="2" t="s">
        <v>50</v>
      </c>
      <c r="E221" s="4">
        <f>IFERROR(__xludf.DUMMYFUNCTION("IFERROR(INDEX(GOOGLEFINANCE(""NSE:""&amp;C221,""open"",DATE(2026,1,1)),2,2),""N/A"")"),264.5)</f>
        <v>264.5</v>
      </c>
      <c r="F221" s="4">
        <f>IFERROR(__xludf.DUMMYFUNCTION("IFERROR(INDEX(GOOGLEFINANCE(""NSE:""&amp;C221,""open"",DATE(2026,4,1)),2,2),""N/A"")"),191.51)</f>
        <v>191.51</v>
      </c>
      <c r="G221" s="4">
        <f>IFERROR(__xludf.DUMMYFUNCTION("IFERROR(INDEX(GOOGLEFINANCE(""NSE:""&amp;C221,""open"",DATE(2026,5,2)),2,2),""N/A"")"),202.4)</f>
        <v>202.4</v>
      </c>
      <c r="H221" s="5">
        <f>IFERROR(__xludf.DUMMYFUNCTION("GOOGLEFINANCE(""NSE:""&amp;C221,""price"")"),200.08)</f>
        <v>200.08</v>
      </c>
      <c r="I221" s="5" t="str">
        <f t="shared" si="1"/>
        <v>🔴 -24.4%</v>
      </c>
      <c r="J221" s="5" t="str">
        <f t="shared" si="2"/>
        <v>🟢 +-4.3%</v>
      </c>
      <c r="K221" s="6" t="str">
        <f t="shared" si="3"/>
        <v>🔴 1.2%</v>
      </c>
    </row>
    <row r="222" ht="15.75" customHeight="1">
      <c r="A222" s="2">
        <v>221.0</v>
      </c>
      <c r="B222" s="2" t="s">
        <v>547</v>
      </c>
      <c r="C222" s="2" t="s">
        <v>548</v>
      </c>
      <c r="D222" s="2" t="s">
        <v>318</v>
      </c>
      <c r="E222" s="4">
        <f>IFERROR(__xludf.DUMMYFUNCTION("IFERROR(INDEX(GOOGLEFINANCE(""NSE:""&amp;C222,""open"",DATE(2026,1,1)),2,2),""N/A"")"),21.66)</f>
        <v>21.66</v>
      </c>
      <c r="F222" s="4">
        <f>IFERROR(__xludf.DUMMYFUNCTION("IFERROR(INDEX(GOOGLEFINANCE(""NSE:""&amp;C222,""open"",DATE(2026,4,1)),2,2),""N/A"")"),17.66)</f>
        <v>17.66</v>
      </c>
      <c r="G222" s="4">
        <f>IFERROR(__xludf.DUMMYFUNCTION("IFERROR(INDEX(GOOGLEFINANCE(""NSE:""&amp;C222,""open"",DATE(2026,5,2)),2,2),""N/A"")"),19.99)</f>
        <v>19.99</v>
      </c>
      <c r="H222" s="5">
        <f>IFERROR(__xludf.DUMMYFUNCTION("GOOGLEFINANCE(""NSE:""&amp;C222,""price"")"),20.57)</f>
        <v>20.57</v>
      </c>
      <c r="I222" s="5" t="str">
        <f t="shared" si="1"/>
        <v>🔴 -5.0%</v>
      </c>
      <c r="J222" s="5" t="str">
        <f t="shared" si="2"/>
        <v>🟢 +-14.1%</v>
      </c>
      <c r="K222" s="6" t="str">
        <f t="shared" si="3"/>
        <v>🟢 +-2.8%</v>
      </c>
    </row>
    <row r="223" ht="15.75" customHeight="1">
      <c r="A223" s="2">
        <v>222.0</v>
      </c>
      <c r="B223" s="2" t="s">
        <v>549</v>
      </c>
      <c r="C223" s="2" t="s">
        <v>550</v>
      </c>
      <c r="D223" s="2" t="s">
        <v>221</v>
      </c>
      <c r="E223" s="4">
        <f>IFERROR(__xludf.DUMMYFUNCTION("IFERROR(INDEX(GOOGLEFINANCE(""NSE:""&amp;C223,""open"",DATE(2026,1,1)),2,2),""N/A"")"),90.0)</f>
        <v>90</v>
      </c>
      <c r="F223" s="4">
        <f>IFERROR(__xludf.DUMMYFUNCTION("IFERROR(INDEX(GOOGLEFINANCE(""NSE:""&amp;C223,""open"",DATE(2026,4,1)),2,2),""N/A"")"),74.0)</f>
        <v>74</v>
      </c>
      <c r="G223" s="4">
        <f>IFERROR(__xludf.DUMMYFUNCTION("IFERROR(INDEX(GOOGLEFINANCE(""NSE:""&amp;C223,""open"",DATE(2026,5,2)),2,2),""N/A"")"),90.09)</f>
        <v>90.09</v>
      </c>
      <c r="H223" s="5">
        <f>IFERROR(__xludf.DUMMYFUNCTION("GOOGLEFINANCE(""NSE:""&amp;C223,""price"")"),90.7)</f>
        <v>90.7</v>
      </c>
      <c r="I223" s="5" t="str">
        <f t="shared" si="1"/>
        <v>🟢 +0.8%</v>
      </c>
      <c r="J223" s="5" t="str">
        <f t="shared" si="2"/>
        <v>🟢 +-18.4%</v>
      </c>
      <c r="K223" s="6" t="str">
        <f t="shared" si="3"/>
        <v>🟢 +-0.7%</v>
      </c>
    </row>
    <row r="224" ht="15.75" customHeight="1">
      <c r="A224" s="2">
        <v>223.0</v>
      </c>
      <c r="B224" s="2" t="s">
        <v>551</v>
      </c>
      <c r="C224" s="2" t="s">
        <v>552</v>
      </c>
      <c r="D224" s="2" t="s">
        <v>553</v>
      </c>
      <c r="E224" s="4">
        <f>IFERROR(__xludf.DUMMYFUNCTION("IFERROR(INDEX(GOOGLEFINANCE(""NSE:""&amp;C224,""open"",DATE(2026,1,1)),2,2),""N/A"")"),278.6)</f>
        <v>278.6</v>
      </c>
      <c r="F224" s="4">
        <f>IFERROR(__xludf.DUMMYFUNCTION("IFERROR(INDEX(GOOGLEFINANCE(""NSE:""&amp;C224,""open"",DATE(2026,4,1)),2,2),""N/A"")"),233.22)</f>
        <v>233.22</v>
      </c>
      <c r="G224" s="4">
        <f>IFERROR(__xludf.DUMMYFUNCTION("IFERROR(INDEX(GOOGLEFINANCE(""NSE:""&amp;C224,""open"",DATE(2026,5,2)),2,2),""N/A"")"),247.0)</f>
        <v>247</v>
      </c>
      <c r="H224" s="5">
        <f>IFERROR(__xludf.DUMMYFUNCTION("GOOGLEFINANCE(""NSE:""&amp;C224,""price"")"),249.1)</f>
        <v>249.1</v>
      </c>
      <c r="I224" s="5" t="str">
        <f t="shared" si="1"/>
        <v>🔴 -10.6%</v>
      </c>
      <c r="J224" s="5" t="str">
        <f t="shared" si="2"/>
        <v>🟢 +-6.4%</v>
      </c>
      <c r="K224" s="6" t="str">
        <f t="shared" si="3"/>
        <v>🟢 +-0.8%</v>
      </c>
    </row>
    <row r="225" ht="15.75" customHeight="1">
      <c r="A225" s="2">
        <v>224.0</v>
      </c>
      <c r="B225" s="2" t="s">
        <v>554</v>
      </c>
      <c r="C225" s="2" t="s">
        <v>555</v>
      </c>
      <c r="D225" s="2" t="s">
        <v>99</v>
      </c>
      <c r="E225" s="4">
        <f>IFERROR(__xludf.DUMMYFUNCTION("IFERROR(INDEX(GOOGLEFINANCE(""NSE:""&amp;C225,""open"",DATE(2026,1,1)),2,2),""N/A"")"),919.8)</f>
        <v>919.8</v>
      </c>
      <c r="F225" s="4">
        <f>IFERROR(__xludf.DUMMYFUNCTION("IFERROR(INDEX(GOOGLEFINANCE(""NSE:""&amp;C225,""open"",DATE(2026,4,1)),2,2),""N/A"")"),888.0)</f>
        <v>888</v>
      </c>
      <c r="G225" s="4">
        <f>IFERROR(__xludf.DUMMYFUNCTION("IFERROR(INDEX(GOOGLEFINANCE(""NSE:""&amp;C225,""open"",DATE(2026,5,2)),2,2),""N/A"")"),895.0)</f>
        <v>895</v>
      </c>
      <c r="H225" s="5">
        <f>IFERROR(__xludf.DUMMYFUNCTION("GOOGLEFINANCE(""NSE:""&amp;C225,""price"")"),915.05)</f>
        <v>915.05</v>
      </c>
      <c r="I225" s="5" t="str">
        <f t="shared" si="1"/>
        <v>🔴 -0.5%</v>
      </c>
      <c r="J225" s="5" t="str">
        <f t="shared" si="2"/>
        <v>🟢 +-3.0%</v>
      </c>
      <c r="K225" s="6" t="str">
        <f t="shared" si="3"/>
        <v>🟢 +-2.2%</v>
      </c>
    </row>
    <row r="226" ht="15.75" customHeight="1">
      <c r="A226" s="7"/>
      <c r="B226" s="8"/>
      <c r="C226" s="9"/>
      <c r="D226" s="10"/>
      <c r="E226" s="11"/>
      <c r="F226" s="11"/>
    </row>
    <row r="227" ht="15.75" customHeight="1">
      <c r="A227" s="12"/>
      <c r="B227" s="12"/>
      <c r="C227" s="9"/>
      <c r="D227" s="10"/>
      <c r="E227" s="11"/>
      <c r="F227" s="11"/>
    </row>
    <row r="228" ht="15.75" customHeight="1">
      <c r="A228" s="12"/>
      <c r="B228" s="12"/>
    </row>
    <row r="229" ht="15.75" customHeight="1">
      <c r="A229" s="12"/>
      <c r="B229" s="12"/>
    </row>
    <row r="230" ht="15.75" customHeight="1">
      <c r="A230" s="12"/>
      <c r="B230" s="12"/>
    </row>
    <row r="231" ht="15.75" customHeight="1">
      <c r="A231" s="12"/>
      <c r="B231" s="12"/>
    </row>
    <row r="232" ht="15.75" customHeight="1">
      <c r="A232" s="12"/>
      <c r="B232" s="12"/>
    </row>
    <row r="233" ht="15.75" customHeight="1">
      <c r="A233" s="12"/>
      <c r="B233" s="12"/>
    </row>
    <row r="234" ht="15.75" customHeight="1">
      <c r="A234" s="12"/>
      <c r="B234" s="12"/>
    </row>
    <row r="235" ht="15.75" customHeight="1">
      <c r="A235" s="12"/>
      <c r="B235" s="12"/>
    </row>
    <row r="236" ht="15.75" customHeight="1">
      <c r="A236" s="12"/>
      <c r="B236" s="12"/>
    </row>
    <row r="237" ht="15.75" customHeight="1">
      <c r="A237" s="12"/>
      <c r="B237" s="12"/>
    </row>
    <row r="238" ht="15.75" customHeight="1">
      <c r="A238" s="12"/>
      <c r="B238" s="12"/>
    </row>
    <row r="239" ht="15.75" customHeight="1">
      <c r="A239" s="12"/>
      <c r="B239" s="12"/>
    </row>
    <row r="240" ht="15.75" customHeight="1">
      <c r="A240" s="12"/>
      <c r="B240" s="12"/>
    </row>
    <row r="241" ht="15.75" customHeight="1">
      <c r="A241" s="12"/>
      <c r="B241" s="12"/>
    </row>
    <row r="242" ht="15.75" customHeight="1">
      <c r="A242" s="12"/>
      <c r="B242" s="12"/>
    </row>
    <row r="243" ht="15.75" customHeight="1">
      <c r="A243" s="12"/>
      <c r="B243" s="12"/>
    </row>
    <row r="244" ht="15.75" customHeight="1">
      <c r="A244" s="12"/>
      <c r="B244" s="12"/>
    </row>
    <row r="245" ht="15.75" customHeight="1">
      <c r="A245" s="12"/>
      <c r="B245" s="12"/>
    </row>
    <row r="246" ht="15.75" customHeight="1">
      <c r="A246" s="12"/>
      <c r="B246" s="12"/>
    </row>
    <row r="247" ht="15.75" customHeight="1">
      <c r="A247" s="12"/>
      <c r="B247" s="12"/>
    </row>
    <row r="248" ht="15.75" customHeight="1">
      <c r="A248" s="12"/>
      <c r="B248" s="12"/>
    </row>
    <row r="249" ht="15.75" customHeight="1">
      <c r="A249" s="12"/>
      <c r="B249" s="12"/>
    </row>
    <row r="250" ht="15.75" customHeight="1">
      <c r="A250" s="12"/>
      <c r="B250" s="12"/>
    </row>
    <row r="251" ht="15.75" customHeight="1">
      <c r="A251" s="12"/>
      <c r="B251" s="12"/>
    </row>
    <row r="252" ht="15.75" customHeight="1">
      <c r="A252" s="12"/>
      <c r="B252" s="12"/>
    </row>
    <row r="253" ht="15.75" customHeight="1">
      <c r="A253" s="12"/>
      <c r="B253" s="12"/>
    </row>
    <row r="254" ht="15.75" customHeight="1">
      <c r="A254" s="12"/>
      <c r="B254" s="12"/>
    </row>
    <row r="255" ht="15.75" customHeight="1">
      <c r="A255" s="12"/>
      <c r="B255" s="12"/>
    </row>
    <row r="256" ht="15.75" customHeight="1">
      <c r="A256" s="12"/>
      <c r="B256" s="12"/>
    </row>
    <row r="257" ht="15.75" customHeight="1">
      <c r="A257" s="12"/>
      <c r="B257" s="12"/>
    </row>
    <row r="258" ht="15.75" customHeight="1">
      <c r="A258" s="12"/>
      <c r="B258" s="12"/>
    </row>
    <row r="259" ht="15.75" customHeight="1">
      <c r="A259" s="12"/>
      <c r="B259" s="12"/>
    </row>
    <row r="260" ht="15.75" customHeight="1">
      <c r="A260" s="12"/>
      <c r="B260" s="12"/>
    </row>
    <row r="261" ht="15.75" customHeight="1">
      <c r="A261" s="12"/>
      <c r="B261" s="12"/>
    </row>
    <row r="262" ht="15.75" customHeight="1">
      <c r="A262" s="12"/>
      <c r="B262" s="12"/>
    </row>
    <row r="263" ht="15.75" customHeight="1">
      <c r="A263" s="12"/>
      <c r="B263" s="12"/>
    </row>
    <row r="264" ht="15.75" customHeight="1">
      <c r="A264" s="12"/>
      <c r="B264" s="12"/>
    </row>
    <row r="265" ht="15.75" customHeight="1">
      <c r="A265" s="12"/>
      <c r="B265" s="12"/>
    </row>
    <row r="266" ht="15.75" customHeight="1">
      <c r="A266" s="12"/>
      <c r="B266" s="12"/>
    </row>
    <row r="267" ht="15.75" customHeight="1">
      <c r="A267" s="12"/>
      <c r="B267" s="12"/>
    </row>
    <row r="268" ht="15.75" customHeight="1">
      <c r="A268" s="12"/>
      <c r="B268" s="12"/>
    </row>
    <row r="269" ht="15.75" customHeight="1">
      <c r="A269" s="12"/>
      <c r="B269" s="12"/>
    </row>
    <row r="270" ht="15.75" customHeight="1">
      <c r="A270" s="12"/>
      <c r="B270" s="12"/>
    </row>
    <row r="271" ht="15.75" customHeight="1">
      <c r="A271" s="12"/>
      <c r="B271" s="12"/>
    </row>
    <row r="272" ht="15.75" customHeight="1">
      <c r="A272" s="12"/>
      <c r="B272" s="12"/>
    </row>
    <row r="273" ht="15.75" customHeight="1">
      <c r="A273" s="12"/>
      <c r="B273" s="12"/>
    </row>
    <row r="274" ht="15.75" customHeight="1">
      <c r="A274" s="12"/>
      <c r="B274" s="12"/>
    </row>
    <row r="275" ht="15.75" customHeight="1">
      <c r="A275" s="12"/>
      <c r="B275" s="12"/>
    </row>
    <row r="276" ht="15.75" customHeight="1">
      <c r="A276" s="12"/>
      <c r="B276" s="12"/>
    </row>
    <row r="277" ht="15.75" customHeight="1">
      <c r="A277" s="12"/>
      <c r="B277" s="12"/>
    </row>
    <row r="278" ht="15.75" customHeight="1">
      <c r="A278" s="12"/>
      <c r="B278" s="12"/>
      <c r="C278" s="12"/>
      <c r="E278" s="13"/>
      <c r="F278" s="13"/>
    </row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dataValidations>
    <dataValidation type="custom" allowBlank="1" showDropDown="1" sqref="E2:F225">
      <formula1>AND(ISNUMBER(E2),(NOT(OR(NOT(ISERROR(DATEVALUE(E2))), AND(ISNUMBER(E2), LEFT(CELL("format", E2))="D")))))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1.29"/>
    <col customWidth="1" min="2" max="2" width="25.0"/>
    <col customWidth="1" min="3" max="3" width="27.71"/>
    <col customWidth="1" min="4" max="4" width="28.43"/>
    <col customWidth="1" min="5" max="5" width="33.86"/>
    <col customWidth="1" min="6" max="7" width="21.29"/>
  </cols>
  <sheetData>
    <row r="1" ht="22.5" customHeight="1">
      <c r="A1" s="14" t="s">
        <v>556</v>
      </c>
      <c r="B1" s="15" t="s">
        <v>557</v>
      </c>
      <c r="C1" s="16" t="s">
        <v>558</v>
      </c>
      <c r="D1" s="16" t="s">
        <v>559</v>
      </c>
      <c r="E1" s="16" t="s">
        <v>560</v>
      </c>
      <c r="F1" s="16" t="s">
        <v>561</v>
      </c>
      <c r="G1" s="17" t="s">
        <v>562</v>
      </c>
    </row>
    <row r="2" ht="22.5" customHeight="1">
      <c r="A2" s="2" t="s">
        <v>326</v>
      </c>
      <c r="B2" s="18">
        <v>35053.0</v>
      </c>
      <c r="C2" s="4">
        <v>2210.0</v>
      </c>
      <c r="D2" s="4">
        <v>363.8</v>
      </c>
      <c r="E2" s="4">
        <f>IFERROR(__xludf.DUMMYFUNCTION("GOOGLEFINANCE(""NSE:""&amp;A2,""price"")"),371.6)</f>
        <v>371.6</v>
      </c>
      <c r="F2" s="5" t="str">
        <f t="shared" ref="F2:F51" si="1">IF(E2&gt;C2,"🟢 +"&amp;TEXT((E2-C2)/C2,"0.0%"), "🔴 "&amp;TEXT((E2-C2)/C2,"0.0%"))</f>
        <v>🔴 -83.2%</v>
      </c>
      <c r="G2" s="5" t="str">
        <f t="shared" ref="G2:G51" si="2">IF(E2&gt;D2,"🟢 +"&amp;TEXT((E2-D2)/D2,"0.0%"), "🔴 "&amp;TEXT((E2-D2)/D2,"0.0%"))</f>
        <v>🟢 +2.1%</v>
      </c>
    </row>
    <row r="3" ht="22.5" customHeight="1">
      <c r="A3" s="2" t="s">
        <v>220</v>
      </c>
      <c r="B3" s="18">
        <v>34838.0</v>
      </c>
      <c r="C3" s="4">
        <v>993.5</v>
      </c>
      <c r="D3" s="4">
        <v>743.0</v>
      </c>
      <c r="E3" s="4">
        <f>IFERROR(__xludf.DUMMYFUNCTION("GOOGLEFINANCE(""NSE:""&amp;A3,""price"")"),773.2)</f>
        <v>773.2</v>
      </c>
      <c r="F3" s="5" t="str">
        <f t="shared" si="1"/>
        <v>🔴 -22.2%</v>
      </c>
      <c r="G3" s="5" t="str">
        <f t="shared" si="2"/>
        <v>🟢 +4.1%</v>
      </c>
    </row>
    <row r="4" ht="22.5" customHeight="1">
      <c r="A4" s="2" t="s">
        <v>449</v>
      </c>
      <c r="B4" s="18">
        <v>28126.0</v>
      </c>
      <c r="C4" s="4">
        <v>1573.7</v>
      </c>
      <c r="D4" s="4">
        <v>1384.2</v>
      </c>
      <c r="E4" s="4">
        <f>IFERROR(__xludf.DUMMYFUNCTION("GOOGLEFINANCE(""NSE:""&amp;A4,""price"")"),1462.5)</f>
        <v>1462.5</v>
      </c>
      <c r="F4" s="5" t="str">
        <f t="shared" si="1"/>
        <v>🔴 -7.1%</v>
      </c>
      <c r="G4" s="5" t="str">
        <f t="shared" si="2"/>
        <v>🟢 +5.7%</v>
      </c>
    </row>
    <row r="5" ht="22.5" customHeight="1">
      <c r="A5" s="2" t="s">
        <v>107</v>
      </c>
      <c r="B5" s="18">
        <v>37302.0</v>
      </c>
      <c r="C5" s="4">
        <v>2114.8</v>
      </c>
      <c r="D5" s="4">
        <v>1811.0</v>
      </c>
      <c r="E5" s="4">
        <f>IFERROR(__xludf.DUMMYFUNCTION("GOOGLEFINANCE(""NSE:""&amp;A5,""price"")"),1816.0)</f>
        <v>1816</v>
      </c>
      <c r="F5" s="5" t="str">
        <f t="shared" si="1"/>
        <v>🔴 -14.1%</v>
      </c>
      <c r="G5" s="5" t="str">
        <f t="shared" si="2"/>
        <v>🟢 +0.3%</v>
      </c>
    </row>
    <row r="6" ht="22.5" customHeight="1">
      <c r="A6" s="2" t="s">
        <v>247</v>
      </c>
      <c r="B6" s="18">
        <v>35674.0</v>
      </c>
      <c r="C6" s="4">
        <v>1343.9</v>
      </c>
      <c r="D6" s="4">
        <v>1228.1</v>
      </c>
      <c r="E6" s="4">
        <f>IFERROR(__xludf.DUMMYFUNCTION("GOOGLEFINANCE(""NSE:""&amp;A6,""price"")"),1250.9)</f>
        <v>1250.9</v>
      </c>
      <c r="F6" s="5" t="str">
        <f t="shared" si="1"/>
        <v>🔴 -6.9%</v>
      </c>
      <c r="G6" s="5" t="str">
        <f t="shared" si="2"/>
        <v>🟢 +1.9%</v>
      </c>
    </row>
    <row r="7" ht="22.5" customHeight="1">
      <c r="A7" s="2" t="s">
        <v>15</v>
      </c>
      <c r="B7" s="18">
        <v>34639.0</v>
      </c>
      <c r="C7" s="4">
        <v>2249.0</v>
      </c>
      <c r="D7" s="4">
        <v>1825.0</v>
      </c>
      <c r="E7" s="4">
        <f>IFERROR(__xludf.DUMMYFUNCTION("GOOGLEFINANCE(""NSE:""&amp;A7,""price"")"),2462.0)</f>
        <v>2462</v>
      </c>
      <c r="F7" s="5" t="str">
        <f t="shared" si="1"/>
        <v>🟢 +9.5%</v>
      </c>
      <c r="G7" s="5" t="str">
        <f t="shared" si="2"/>
        <v>🟢 +34.9%</v>
      </c>
    </row>
    <row r="8" ht="22.5" customHeight="1">
      <c r="A8" s="2" t="s">
        <v>67</v>
      </c>
      <c r="B8" s="18">
        <v>36100.0</v>
      </c>
      <c r="C8" s="4">
        <v>1270.0</v>
      </c>
      <c r="D8" s="4">
        <v>1175.0</v>
      </c>
      <c r="E8" s="4">
        <f>IFERROR(__xludf.DUMMYFUNCTION("GOOGLEFINANCE(""NSE:""&amp;A8,""price"")"),1257.8)</f>
        <v>1257.8</v>
      </c>
      <c r="F8" s="5" t="str">
        <f t="shared" si="1"/>
        <v>🔴 -1.0%</v>
      </c>
      <c r="G8" s="5" t="str">
        <f t="shared" si="2"/>
        <v>🟢 +7.0%</v>
      </c>
    </row>
    <row r="9" ht="22.5" customHeight="1">
      <c r="A9" s="2" t="s">
        <v>365</v>
      </c>
      <c r="B9" s="18">
        <v>37803.0</v>
      </c>
      <c r="C9" s="4">
        <v>16700.0</v>
      </c>
      <c r="D9" s="4">
        <v>12900.0</v>
      </c>
      <c r="E9" s="4">
        <f>IFERROR(__xludf.DUMMYFUNCTION("GOOGLEFINANCE(""NSE:""&amp;A9,""price"")"),13450.0)</f>
        <v>13450</v>
      </c>
      <c r="F9" s="5" t="str">
        <f t="shared" si="1"/>
        <v>🔴 -19.5%</v>
      </c>
      <c r="G9" s="5" t="str">
        <f t="shared" si="2"/>
        <v>🟢 +4.3%</v>
      </c>
    </row>
    <row r="10" ht="22.5" customHeight="1">
      <c r="A10" s="2" t="s">
        <v>471</v>
      </c>
      <c r="B10" s="18">
        <v>34700.0</v>
      </c>
      <c r="C10" s="4">
        <v>983.2</v>
      </c>
      <c r="D10" s="4">
        <v>1008.0</v>
      </c>
      <c r="E10" s="4">
        <f>IFERROR(__xludf.DUMMYFUNCTION("GOOGLEFINANCE(""NSE:""&amp;A10,""price"")"),1060.0)</f>
        <v>1060</v>
      </c>
      <c r="F10" s="5" t="str">
        <f t="shared" si="1"/>
        <v>🟢 +7.8%</v>
      </c>
      <c r="G10" s="5" t="str">
        <f t="shared" si="2"/>
        <v>🟢 +5.2%</v>
      </c>
    </row>
    <row r="11" ht="22.5" customHeight="1">
      <c r="A11" s="2" t="s">
        <v>24</v>
      </c>
      <c r="B11" s="18">
        <v>39387.0</v>
      </c>
      <c r="C11" s="4">
        <v>1472.8</v>
      </c>
      <c r="D11" s="4">
        <v>1351.2</v>
      </c>
      <c r="E11" s="4">
        <f>IFERROR(__xludf.DUMMYFUNCTION("GOOGLEFINANCE(""NSE:""&amp;A11,""price"")"),1726.8)</f>
        <v>1726.8</v>
      </c>
      <c r="F11" s="5" t="str">
        <f t="shared" si="1"/>
        <v>🟢 +17.2%</v>
      </c>
      <c r="G11" s="5" t="str">
        <f t="shared" si="2"/>
        <v>🟢 +27.8%</v>
      </c>
    </row>
    <row r="12" ht="22.5" customHeight="1">
      <c r="A12" s="2" t="s">
        <v>552</v>
      </c>
      <c r="B12" s="18"/>
      <c r="C12" s="4">
        <v>278.6</v>
      </c>
      <c r="D12" s="4">
        <v>233.22</v>
      </c>
      <c r="E12" s="4">
        <f>IFERROR(__xludf.DUMMYFUNCTION("GOOGLEFINANCE(""NSE:""&amp;A12,""price"")"),249.1)</f>
        <v>249.1</v>
      </c>
      <c r="F12" s="5" t="str">
        <f t="shared" si="1"/>
        <v>🔴 -10.6%</v>
      </c>
      <c r="G12" s="5" t="str">
        <f t="shared" si="2"/>
        <v>🟢 +6.8%</v>
      </c>
    </row>
    <row r="13" ht="22.5" customHeight="1">
      <c r="A13" s="2" t="s">
        <v>70</v>
      </c>
      <c r="B13" s="18">
        <v>21916.0</v>
      </c>
      <c r="C13" s="4">
        <v>9365.0</v>
      </c>
      <c r="D13" s="4">
        <v>8993.5</v>
      </c>
      <c r="E13" s="4">
        <f>IFERROR(__xludf.DUMMYFUNCTION("GOOGLEFINANCE(""NSE:""&amp;A13,""price"")"),10068.0)</f>
        <v>10068</v>
      </c>
      <c r="F13" s="5" t="str">
        <f t="shared" si="1"/>
        <v>🟢 +7.5%</v>
      </c>
      <c r="G13" s="5" t="str">
        <f t="shared" si="2"/>
        <v>🟢 +11.9%</v>
      </c>
    </row>
    <row r="14" ht="22.5" customHeight="1">
      <c r="A14" s="2" t="s">
        <v>354</v>
      </c>
      <c r="B14" s="18">
        <v>20455.0</v>
      </c>
      <c r="C14" s="4">
        <v>3725.0</v>
      </c>
      <c r="D14" s="4">
        <v>3079.9</v>
      </c>
      <c r="E14" s="4">
        <f>IFERROR(__xludf.DUMMYFUNCTION("GOOGLEFINANCE(""NSE:""&amp;A14,""price"")"),3220.8)</f>
        <v>3220.8</v>
      </c>
      <c r="F14" s="5" t="str">
        <f t="shared" si="1"/>
        <v>🔴 -13.5%</v>
      </c>
      <c r="G14" s="5" t="str">
        <f t="shared" si="2"/>
        <v>🟢 +4.6%</v>
      </c>
    </row>
    <row r="15" ht="22.5" customHeight="1">
      <c r="A15" s="2" t="s">
        <v>336</v>
      </c>
      <c r="B15" s="18">
        <v>18264.0</v>
      </c>
      <c r="C15" s="4">
        <v>4090.0</v>
      </c>
      <c r="D15" s="4">
        <v>3655.0</v>
      </c>
      <c r="E15" s="4">
        <f>IFERROR(__xludf.DUMMYFUNCTION("GOOGLEFINANCE(""NSE:""&amp;A15,""price"")"),4075.0)</f>
        <v>4075</v>
      </c>
      <c r="F15" s="5" t="str">
        <f t="shared" si="1"/>
        <v>🔴 -0.4%</v>
      </c>
      <c r="G15" s="5" t="str">
        <f t="shared" si="2"/>
        <v>🟢 +11.5%</v>
      </c>
    </row>
    <row r="16" ht="22.5" customHeight="1">
      <c r="A16" s="2" t="s">
        <v>73</v>
      </c>
      <c r="B16" s="18">
        <v>37622.0</v>
      </c>
      <c r="C16" s="4">
        <v>988.2</v>
      </c>
      <c r="D16" s="4">
        <v>832.8</v>
      </c>
      <c r="E16" s="4">
        <f>IFERROR(__xludf.DUMMYFUNCTION("GOOGLEFINANCE(""NSE:""&amp;A16,""price"")"),959.75)</f>
        <v>959.75</v>
      </c>
      <c r="F16" s="5" t="str">
        <f t="shared" si="1"/>
        <v>🔴 -2.9%</v>
      </c>
      <c r="G16" s="5" t="str">
        <f t="shared" si="2"/>
        <v>🟢 +15.2%</v>
      </c>
    </row>
    <row r="17" ht="22.5" customHeight="1">
      <c r="A17" s="2" t="s">
        <v>298</v>
      </c>
      <c r="B17" s="18">
        <v>19725.0</v>
      </c>
      <c r="C17" s="4">
        <v>402.7</v>
      </c>
      <c r="D17" s="4">
        <v>293.0</v>
      </c>
      <c r="E17" s="4">
        <f>IFERROR(__xludf.DUMMYFUNCTION("GOOGLEFINANCE(""NSE:""&amp;A17,""price"")"),310.35)</f>
        <v>310.35</v>
      </c>
      <c r="F17" s="5" t="str">
        <f t="shared" si="1"/>
        <v>🔴 -22.9%</v>
      </c>
      <c r="G17" s="5" t="str">
        <f t="shared" si="2"/>
        <v>🟢 +5.9%</v>
      </c>
    </row>
    <row r="18" ht="22.5" customHeight="1">
      <c r="A18" s="2" t="s">
        <v>289</v>
      </c>
      <c r="B18" s="18">
        <v>34134.0</v>
      </c>
      <c r="C18" s="4">
        <v>1615.4</v>
      </c>
      <c r="D18" s="4">
        <v>1290.0</v>
      </c>
      <c r="E18" s="4">
        <f>IFERROR(__xludf.DUMMYFUNCTION("GOOGLEFINANCE(""NSE:""&amp;A18,""price"")"),1177.6)</f>
        <v>1177.6</v>
      </c>
      <c r="F18" s="5" t="str">
        <f t="shared" si="1"/>
        <v>🔴 -27.1%</v>
      </c>
      <c r="G18" s="5" t="str">
        <f t="shared" si="2"/>
        <v>🔴 -8.7%</v>
      </c>
    </row>
    <row r="19" ht="22.5" customHeight="1">
      <c r="A19" s="2" t="s">
        <v>234</v>
      </c>
      <c r="B19" s="18">
        <v>20455.0</v>
      </c>
      <c r="C19" s="4">
        <v>2322.0</v>
      </c>
      <c r="D19" s="4">
        <v>2119.9</v>
      </c>
      <c r="E19" s="4">
        <f>IFERROR(__xludf.DUMMYFUNCTION("GOOGLEFINANCE(""NSE:""&amp;A19,""price"")"),2322.6)</f>
        <v>2322.6</v>
      </c>
      <c r="F19" s="5" t="str">
        <f t="shared" si="1"/>
        <v>🟢 +0.0%</v>
      </c>
      <c r="G19" s="5" t="str">
        <f t="shared" si="2"/>
        <v>🟢 +9.6%</v>
      </c>
    </row>
    <row r="20" ht="22.5" customHeight="1">
      <c r="A20" s="2" t="s">
        <v>493</v>
      </c>
      <c r="B20" s="18">
        <v>38224.0</v>
      </c>
      <c r="C20" s="4">
        <v>2429.0</v>
      </c>
      <c r="D20" s="4">
        <v>2429.0</v>
      </c>
      <c r="E20" s="4">
        <f>IFERROR(__xludf.DUMMYFUNCTION("GOOGLEFINANCE(""NSE:""&amp;A20,""price"")"),2429.8)</f>
        <v>2429.8</v>
      </c>
      <c r="F20" s="5" t="str">
        <f t="shared" si="1"/>
        <v>🟢 +0.0%</v>
      </c>
      <c r="G20" s="5" t="str">
        <f t="shared" si="2"/>
        <v>🟢 +0.0%</v>
      </c>
    </row>
    <row r="21" ht="22.5" customHeight="1">
      <c r="A21" s="2" t="s">
        <v>475</v>
      </c>
      <c r="B21" s="18">
        <v>34335.0</v>
      </c>
      <c r="C21" s="4">
        <v>1720.0</v>
      </c>
      <c r="D21" s="4">
        <v>1762.1</v>
      </c>
      <c r="E21" s="4">
        <f>IFERROR(__xludf.DUMMYFUNCTION("GOOGLEFINANCE(""NSE:""&amp;A21,""price"")"),1818.0)</f>
        <v>1818</v>
      </c>
      <c r="F21" s="5" t="str">
        <f t="shared" si="1"/>
        <v>🟢 +5.7%</v>
      </c>
      <c r="G21" s="5" t="str">
        <f t="shared" si="2"/>
        <v>🟢 +3.2%</v>
      </c>
    </row>
    <row r="22" ht="22.5" customHeight="1">
      <c r="A22" s="2" t="s">
        <v>98</v>
      </c>
      <c r="B22" s="18">
        <v>36526.0</v>
      </c>
      <c r="C22" s="4">
        <v>399.9</v>
      </c>
      <c r="D22" s="4">
        <v>415.0</v>
      </c>
      <c r="E22" s="4">
        <f>IFERROR(__xludf.DUMMYFUNCTION("GOOGLEFINANCE(""NSE:""&amp;A22,""price"")"),436.5)</f>
        <v>436.5</v>
      </c>
      <c r="F22" s="5" t="str">
        <f t="shared" si="1"/>
        <v>🟢 +9.2%</v>
      </c>
      <c r="G22" s="5" t="str">
        <f t="shared" si="2"/>
        <v>🟢 +5.2%</v>
      </c>
    </row>
    <row r="23" ht="22.5" customHeight="1">
      <c r="A23" s="2" t="s">
        <v>563</v>
      </c>
      <c r="B23" s="18"/>
      <c r="C23" s="4">
        <v>368.85</v>
      </c>
      <c r="D23" s="4">
        <v>310.0</v>
      </c>
      <c r="E23" s="4">
        <f>IFERROR(__xludf.DUMMYFUNCTION("GOOGLEFINANCE(""NSE:""&amp;A23,""price"")"),340.6)</f>
        <v>340.6</v>
      </c>
      <c r="F23" s="5" t="str">
        <f t="shared" si="1"/>
        <v>🔴 -7.7%</v>
      </c>
      <c r="G23" s="5" t="str">
        <f t="shared" si="2"/>
        <v>🟢 +9.9%</v>
      </c>
    </row>
    <row r="24" ht="22.5" customHeight="1">
      <c r="A24" s="2" t="s">
        <v>183</v>
      </c>
      <c r="B24" s="18">
        <v>29952.0</v>
      </c>
      <c r="C24" s="4">
        <v>7317.0</v>
      </c>
      <c r="D24" s="4">
        <v>6787.5</v>
      </c>
      <c r="E24" s="4">
        <f>IFERROR(__xludf.DUMMYFUNCTION("GOOGLEFINANCE(""NSE:""&amp;A24,""price"")"),7300.0)</f>
        <v>7300</v>
      </c>
      <c r="F24" s="5" t="str">
        <f t="shared" si="1"/>
        <v>🔴 -0.2%</v>
      </c>
      <c r="G24" s="5" t="str">
        <f t="shared" si="2"/>
        <v>🟢 +7.6%</v>
      </c>
    </row>
    <row r="25" ht="22.5" customHeight="1">
      <c r="A25" s="2" t="s">
        <v>142</v>
      </c>
      <c r="B25" s="18">
        <v>40486.0</v>
      </c>
      <c r="C25" s="4">
        <v>399.0</v>
      </c>
      <c r="D25" s="4">
        <v>464.0</v>
      </c>
      <c r="E25" s="4">
        <f>IFERROR(__xludf.DUMMYFUNCTION("GOOGLEFINANCE(""NSE:""&amp;A25,""price"")"),472.85)</f>
        <v>472.85</v>
      </c>
      <c r="F25" s="5" t="str">
        <f t="shared" si="1"/>
        <v>🟢 +18.5%</v>
      </c>
      <c r="G25" s="5" t="str">
        <f t="shared" si="2"/>
        <v>🟢 +1.9%</v>
      </c>
    </row>
    <row r="26" ht="22.5" customHeight="1">
      <c r="A26" s="2" t="s">
        <v>461</v>
      </c>
      <c r="B26" s="18">
        <v>35326.0</v>
      </c>
      <c r="C26" s="4">
        <v>915.6</v>
      </c>
      <c r="D26" s="4">
        <v>996.2</v>
      </c>
      <c r="E26" s="4">
        <f>IFERROR(__xludf.DUMMYFUNCTION("GOOGLEFINANCE(""NSE:""&amp;A26,""price"")"),965.0)</f>
        <v>965</v>
      </c>
      <c r="F26" s="5" t="str">
        <f t="shared" si="1"/>
        <v>🟢 +5.4%</v>
      </c>
      <c r="G26" s="5" t="str">
        <f t="shared" si="2"/>
        <v>🔴 -3.1%</v>
      </c>
    </row>
    <row r="27" ht="22.5" customHeight="1">
      <c r="A27" s="2" t="s">
        <v>228</v>
      </c>
      <c r="B27" s="18">
        <v>35431.0</v>
      </c>
      <c r="C27" s="4">
        <v>888.1</v>
      </c>
      <c r="D27" s="4">
        <v>909.0</v>
      </c>
      <c r="E27" s="4">
        <f>IFERROR(__xludf.DUMMYFUNCTION("GOOGLEFINANCE(""NSE:""&amp;A27,""price"")"),1057.0)</f>
        <v>1057</v>
      </c>
      <c r="F27" s="5" t="str">
        <f t="shared" si="1"/>
        <v>🟢 +19.0%</v>
      </c>
      <c r="G27" s="5" t="str">
        <f t="shared" si="2"/>
        <v>🟢 +16.3%</v>
      </c>
    </row>
    <row r="28" ht="22.5" customHeight="1">
      <c r="A28" s="2" t="s">
        <v>505</v>
      </c>
      <c r="B28" s="18">
        <v>36100.0</v>
      </c>
      <c r="C28" s="4">
        <v>200.0</v>
      </c>
      <c r="D28" s="4">
        <v>180.6</v>
      </c>
      <c r="E28" s="4">
        <f>IFERROR(__xludf.DUMMYFUNCTION("GOOGLEFINANCE(""NSE:""&amp;A28,""price"")"),211.48)</f>
        <v>211.48</v>
      </c>
      <c r="F28" s="5" t="str">
        <f t="shared" si="1"/>
        <v>🟢 +5.7%</v>
      </c>
      <c r="G28" s="5" t="str">
        <f t="shared" si="2"/>
        <v>🟢 +17.1%</v>
      </c>
    </row>
    <row r="29" ht="22.5" customHeight="1">
      <c r="A29" s="2" t="s">
        <v>457</v>
      </c>
      <c r="B29" s="18">
        <v>43011.0</v>
      </c>
      <c r="C29" s="4">
        <v>2034.9</v>
      </c>
      <c r="D29" s="4">
        <v>1828.4</v>
      </c>
      <c r="E29" s="4">
        <f>IFERROR(__xludf.DUMMYFUNCTION("GOOGLEFINANCE(""NSE:""&amp;A29,""price"")"),1823.1)</f>
        <v>1823.1</v>
      </c>
      <c r="F29" s="5" t="str">
        <f t="shared" si="1"/>
        <v>🔴 -10.4%</v>
      </c>
      <c r="G29" s="5" t="str">
        <f t="shared" si="2"/>
        <v>🔴 -0.3%</v>
      </c>
    </row>
    <row r="30" ht="22.5" customHeight="1">
      <c r="A30" s="2" t="s">
        <v>292</v>
      </c>
      <c r="B30" s="18">
        <v>42318.0</v>
      </c>
      <c r="C30" s="4">
        <v>5081.0</v>
      </c>
      <c r="D30" s="4">
        <v>4063.8</v>
      </c>
      <c r="E30" s="4">
        <f>IFERROR(__xludf.DUMMYFUNCTION("GOOGLEFINANCE(""NSE:""&amp;A30,""price"")"),4250.7)</f>
        <v>4250.7</v>
      </c>
      <c r="F30" s="5" t="str">
        <f t="shared" si="1"/>
        <v>🔴 -16.3%</v>
      </c>
      <c r="G30" s="5" t="str">
        <f t="shared" si="2"/>
        <v>🟢 +4.6%</v>
      </c>
    </row>
    <row r="31" ht="22.5" customHeight="1">
      <c r="A31" s="2" t="s">
        <v>526</v>
      </c>
      <c r="B31" s="18">
        <v>38064.0</v>
      </c>
      <c r="C31" s="4">
        <v>240.9</v>
      </c>
      <c r="D31" s="4">
        <v>290.0</v>
      </c>
      <c r="E31" s="4">
        <f>IFERROR(__xludf.DUMMYFUNCTION("GOOGLEFINANCE(""NSE:""&amp;A31,""price"")"),11939.0)</f>
        <v>11939</v>
      </c>
      <c r="F31" s="5" t="str">
        <f t="shared" si="1"/>
        <v>🟢 +4856.0%</v>
      </c>
      <c r="G31" s="5" t="str">
        <f t="shared" si="2"/>
        <v>🟢 +4016.9%</v>
      </c>
    </row>
    <row r="32" ht="22.5" customHeight="1">
      <c r="A32" s="2" t="s">
        <v>404</v>
      </c>
      <c r="B32" s="18">
        <v>38223.0</v>
      </c>
      <c r="C32" s="4">
        <v>10802.0</v>
      </c>
      <c r="D32" s="4">
        <v>11792.0</v>
      </c>
      <c r="E32" s="4">
        <f>IFERROR(__xludf.DUMMYFUNCTION("GOOGLEFINANCE(""NSE:""&amp;A32,""price"")"),290.1)</f>
        <v>290.1</v>
      </c>
      <c r="F32" s="5" t="str">
        <f t="shared" si="1"/>
        <v>🔴 -97.3%</v>
      </c>
      <c r="G32" s="5" t="str">
        <f t="shared" si="2"/>
        <v>🔴 -97.5%</v>
      </c>
    </row>
    <row r="33" ht="22.5" customHeight="1">
      <c r="A33" s="2" t="s">
        <v>306</v>
      </c>
      <c r="B33" s="18">
        <v>45159.0</v>
      </c>
      <c r="C33" s="4">
        <v>295.4</v>
      </c>
      <c r="D33" s="4">
        <v>233.04</v>
      </c>
      <c r="E33" s="4">
        <f>IFERROR(__xludf.DUMMYFUNCTION("GOOGLEFINANCE(""NSE:""&amp;A33,""price"")"),249.0)</f>
        <v>249</v>
      </c>
      <c r="F33" s="5" t="str">
        <f t="shared" si="1"/>
        <v>🔴 -15.7%</v>
      </c>
      <c r="G33" s="5" t="str">
        <f t="shared" si="2"/>
        <v>🟢 +6.8%</v>
      </c>
    </row>
    <row r="34" ht="22.5" customHeight="1">
      <c r="A34" s="2" t="s">
        <v>214</v>
      </c>
      <c r="B34" s="18">
        <v>36536.0</v>
      </c>
      <c r="C34" s="4">
        <v>1622.9</v>
      </c>
      <c r="D34" s="4">
        <v>1399.7</v>
      </c>
      <c r="E34" s="4">
        <f>IFERROR(__xludf.DUMMYFUNCTION("GOOGLEFINANCE(""NSE:""&amp;A34,""price"")"),1200.3)</f>
        <v>1200.3</v>
      </c>
      <c r="F34" s="5" t="str">
        <f t="shared" si="1"/>
        <v>🔴 -26.0%</v>
      </c>
      <c r="G34" s="5" t="str">
        <f t="shared" si="2"/>
        <v>🔴 -14.2%</v>
      </c>
    </row>
    <row r="35" ht="22.5" customHeight="1">
      <c r="A35" s="2" t="s">
        <v>181</v>
      </c>
      <c r="B35" s="18">
        <v>33756.0</v>
      </c>
      <c r="C35" s="4">
        <v>1270.0</v>
      </c>
      <c r="D35" s="4">
        <v>1280.0</v>
      </c>
      <c r="E35" s="4">
        <f>IFERROR(__xludf.DUMMYFUNCTION("GOOGLEFINANCE(""NSE:""&amp;A35,""price"")"),1272.1)</f>
        <v>1272.1</v>
      </c>
      <c r="F35" s="5" t="str">
        <f t="shared" si="1"/>
        <v>🟢 +0.2%</v>
      </c>
      <c r="G35" s="5" t="str">
        <f t="shared" si="2"/>
        <v>🔴 -0.6%</v>
      </c>
    </row>
    <row r="36" ht="22.5" customHeight="1">
      <c r="A36" s="2" t="s">
        <v>513</v>
      </c>
      <c r="B36" s="18">
        <v>34943.0</v>
      </c>
      <c r="C36" s="4">
        <v>4063.7</v>
      </c>
      <c r="D36" s="4">
        <v>4000.0</v>
      </c>
      <c r="E36" s="4">
        <f>IFERROR(__xludf.DUMMYFUNCTION("GOOGLEFINANCE(""NSE:""&amp;A36,""price"")"),4390.0)</f>
        <v>4390</v>
      </c>
      <c r="F36" s="5" t="str">
        <f t="shared" si="1"/>
        <v>🟢 +8.0%</v>
      </c>
      <c r="G36" s="5" t="str">
        <f t="shared" si="2"/>
        <v>🟢 +9.8%</v>
      </c>
    </row>
    <row r="37" ht="22.5" customHeight="1">
      <c r="A37" s="2" t="s">
        <v>76</v>
      </c>
      <c r="B37" s="18">
        <v>39360.0</v>
      </c>
      <c r="C37" s="4">
        <v>264.1</v>
      </c>
      <c r="D37" s="4">
        <v>305.0</v>
      </c>
      <c r="E37" s="4">
        <f>IFERROR(__xludf.DUMMYFUNCTION("GOOGLEFINANCE(""NSE:""&amp;A37,""price"")"),1791.0)</f>
        <v>1791</v>
      </c>
      <c r="F37" s="5" t="str">
        <f t="shared" si="1"/>
        <v>🟢 +578.2%</v>
      </c>
      <c r="G37" s="5" t="str">
        <f t="shared" si="2"/>
        <v>🟢 +487.2%</v>
      </c>
    </row>
    <row r="38" ht="22.5" customHeight="1">
      <c r="A38" s="2" t="s">
        <v>370</v>
      </c>
      <c r="B38" s="18">
        <v>41030.0</v>
      </c>
      <c r="C38" s="4">
        <v>2045.0</v>
      </c>
      <c r="D38" s="4">
        <v>1679.0</v>
      </c>
      <c r="E38" s="4">
        <f>IFERROR(__xludf.DUMMYFUNCTION("GOOGLEFINANCE(""NSE:""&amp;A38,""price"")"),1004.0)</f>
        <v>1004</v>
      </c>
      <c r="F38" s="5" t="str">
        <f t="shared" si="1"/>
        <v>🔴 -50.9%</v>
      </c>
      <c r="G38" s="5" t="str">
        <f t="shared" si="2"/>
        <v>🔴 -40.2%</v>
      </c>
    </row>
    <row r="39" ht="22.5" customHeight="1">
      <c r="A39" s="2" t="s">
        <v>435</v>
      </c>
      <c r="B39" s="18">
        <v>44064.0</v>
      </c>
      <c r="C39" s="4">
        <v>1048.2</v>
      </c>
      <c r="D39" s="4">
        <v>966.2</v>
      </c>
      <c r="E39" s="4">
        <f>IFERROR(__xludf.DUMMYFUNCTION("GOOGLEFINANCE(""NSE:""&amp;A39,""price"")"),318.5)</f>
        <v>318.5</v>
      </c>
      <c r="F39" s="5" t="str">
        <f t="shared" si="1"/>
        <v>🔴 -69.6%</v>
      </c>
      <c r="G39" s="5" t="str">
        <f t="shared" si="2"/>
        <v>🔴 -67.0%</v>
      </c>
    </row>
    <row r="40" ht="22.5" customHeight="1">
      <c r="A40" s="2" t="s">
        <v>47</v>
      </c>
      <c r="B40" s="18">
        <v>34842.0</v>
      </c>
      <c r="C40" s="4">
        <v>7063.0</v>
      </c>
      <c r="D40" s="4">
        <v>7549.0</v>
      </c>
      <c r="E40" s="4">
        <f>IFERROR(__xludf.DUMMYFUNCTION("GOOGLEFINANCE(""NSE:""&amp;A40,""price"")"),7760.0)</f>
        <v>7760</v>
      </c>
      <c r="F40" s="5" t="str">
        <f t="shared" si="1"/>
        <v>🟢 +9.9%</v>
      </c>
      <c r="G40" s="5" t="str">
        <f t="shared" si="2"/>
        <v>🟢 +2.8%</v>
      </c>
    </row>
    <row r="41" ht="22.5" customHeight="1">
      <c r="A41" s="2" t="s">
        <v>388</v>
      </c>
      <c r="B41" s="18">
        <v>34912.0</v>
      </c>
      <c r="C41" s="4">
        <v>1293.0</v>
      </c>
      <c r="D41" s="4">
        <v>1174.8</v>
      </c>
      <c r="E41" s="4">
        <f>IFERROR(__xludf.DUMMYFUNCTION("GOOGLEFINANCE(""NSE:""&amp;A41,""price"")"),1473.0)</f>
        <v>1473</v>
      </c>
      <c r="F41" s="5" t="str">
        <f t="shared" si="1"/>
        <v>🟢 +13.9%</v>
      </c>
      <c r="G41" s="5" t="str">
        <f t="shared" si="2"/>
        <v>🟢 +25.4%</v>
      </c>
    </row>
    <row r="42" ht="22.5" customHeight="1">
      <c r="A42" s="2" t="s">
        <v>317</v>
      </c>
      <c r="B42" s="18">
        <v>38412.0</v>
      </c>
      <c r="C42" s="4">
        <v>1163.5</v>
      </c>
      <c r="D42" s="4">
        <v>1141.9</v>
      </c>
      <c r="E42" s="4">
        <f>IFERROR(__xludf.DUMMYFUNCTION("GOOGLEFINANCE(""NSE:""&amp;A42,""price"")"),1252.0)</f>
        <v>1252</v>
      </c>
      <c r="F42" s="5" t="str">
        <f t="shared" si="1"/>
        <v>🟢 +7.6%</v>
      </c>
      <c r="G42" s="5" t="str">
        <f t="shared" si="2"/>
        <v>🟢 +9.6%</v>
      </c>
    </row>
    <row r="43" ht="22.5" customHeight="1">
      <c r="A43" s="2" t="s">
        <v>520</v>
      </c>
      <c r="B43" s="18">
        <v>36404.0</v>
      </c>
      <c r="C43" s="4">
        <v>4279.0</v>
      </c>
      <c r="D43" s="4">
        <v>3447.0</v>
      </c>
      <c r="E43" s="4">
        <f>IFERROR(__xludf.DUMMYFUNCTION("GOOGLEFINANCE(""NSE:""&amp;A43,""price"")"),4144.9)</f>
        <v>4144.9</v>
      </c>
      <c r="F43" s="5" t="str">
        <f t="shared" si="1"/>
        <v>🔴 -3.1%</v>
      </c>
      <c r="G43" s="5" t="str">
        <f t="shared" si="2"/>
        <v>🟢 +20.2%</v>
      </c>
    </row>
    <row r="44" ht="22.5" customHeight="1">
      <c r="A44" s="2" t="s">
        <v>546</v>
      </c>
      <c r="B44" s="18">
        <v>35004.0</v>
      </c>
      <c r="C44" s="4">
        <v>268.05</v>
      </c>
      <c r="D44" s="4">
        <v>191.51</v>
      </c>
      <c r="E44" s="4">
        <f>IFERROR(__xludf.DUMMYFUNCTION("GOOGLEFINANCE(""NSE:""&amp;A44,""price"")"),200.08)</f>
        <v>200.08</v>
      </c>
      <c r="F44" s="5" t="str">
        <f t="shared" si="1"/>
        <v>🔴 -25.4%</v>
      </c>
      <c r="G44" s="5" t="str">
        <f t="shared" si="2"/>
        <v>🟢 +4.5%</v>
      </c>
    </row>
    <row r="45" ht="22.5" customHeight="1">
      <c r="A45" s="2" t="s">
        <v>55</v>
      </c>
      <c r="B45" s="18">
        <v>34759.0</v>
      </c>
      <c r="C45" s="4">
        <v>2775.9</v>
      </c>
      <c r="D45" s="4">
        <v>2224.8</v>
      </c>
      <c r="E45" s="4">
        <f>IFERROR(__xludf.DUMMYFUNCTION("GOOGLEFINANCE(""NSE:""&amp;A45,""price"")"),2432.5)</f>
        <v>2432.5</v>
      </c>
      <c r="F45" s="5" t="str">
        <f t="shared" si="1"/>
        <v>🔴 -12.4%</v>
      </c>
      <c r="G45" s="5" t="str">
        <f t="shared" si="2"/>
        <v>🟢 +9.3%</v>
      </c>
    </row>
    <row r="46" ht="22.5" customHeight="1">
      <c r="A46" s="2" t="s">
        <v>398</v>
      </c>
      <c r="B46" s="18">
        <v>38292.0</v>
      </c>
      <c r="C46" s="4">
        <v>329.8</v>
      </c>
      <c r="D46" s="4">
        <v>381.3</v>
      </c>
      <c r="E46" s="4">
        <f>IFERROR(__xludf.DUMMYFUNCTION("GOOGLEFINANCE(""NSE:""&amp;A46,""price"")"),399.2)</f>
        <v>399.2</v>
      </c>
      <c r="F46" s="5" t="str">
        <f t="shared" si="1"/>
        <v>🟢 +21.0%</v>
      </c>
      <c r="G46" s="5" t="str">
        <f t="shared" si="2"/>
        <v>🟢 +4.7%</v>
      </c>
    </row>
    <row r="47" ht="22.5" customHeight="1">
      <c r="A47" s="2" t="s">
        <v>509</v>
      </c>
      <c r="B47" s="18">
        <v>38930.0</v>
      </c>
      <c r="C47" s="4">
        <v>1591.0</v>
      </c>
      <c r="D47" s="4">
        <v>1412.6</v>
      </c>
      <c r="E47" s="4">
        <f>IFERROR(__xludf.DUMMYFUNCTION("GOOGLEFINANCE(""NSE:""&amp;A47,""price"")"),1451.2)</f>
        <v>1451.2</v>
      </c>
      <c r="F47" s="5" t="str">
        <f t="shared" si="1"/>
        <v>🔴 -8.8%</v>
      </c>
      <c r="G47" s="5" t="str">
        <f t="shared" si="2"/>
        <v>🟢 +2.7%</v>
      </c>
    </row>
    <row r="48" ht="22.5" customHeight="1">
      <c r="A48" s="2" t="s">
        <v>211</v>
      </c>
      <c r="B48" s="18">
        <v>34759.0</v>
      </c>
      <c r="C48" s="4">
        <v>2833.0</v>
      </c>
      <c r="D48" s="4">
        <v>2602.0</v>
      </c>
      <c r="E48" s="4">
        <f>IFERROR(__xludf.DUMMYFUNCTION("GOOGLEFINANCE(""NSE:""&amp;A48,""price"")"),2863.7)</f>
        <v>2863.7</v>
      </c>
      <c r="F48" s="5" t="str">
        <f t="shared" si="1"/>
        <v>🟢 +1.1%</v>
      </c>
      <c r="G48" s="5" t="str">
        <f t="shared" si="2"/>
        <v>🟢 +10.1%</v>
      </c>
    </row>
    <row r="49" ht="22.5" customHeight="1">
      <c r="A49" s="2" t="s">
        <v>491</v>
      </c>
      <c r="B49" s="18">
        <v>34759.0</v>
      </c>
      <c r="C49" s="4">
        <v>1192.0</v>
      </c>
      <c r="D49" s="4">
        <v>1025.0</v>
      </c>
      <c r="E49" s="4">
        <f>IFERROR(__xludf.DUMMYFUNCTION("GOOGLEFINANCE(""NSE:""&amp;A49,""price"")"),1151.0)</f>
        <v>1151</v>
      </c>
      <c r="F49" s="5" t="str">
        <f t="shared" si="1"/>
        <v>🔴 -3.4%</v>
      </c>
      <c r="G49" s="5" t="str">
        <f t="shared" si="2"/>
        <v>🟢 +12.3%</v>
      </c>
    </row>
    <row r="50" ht="22.5" customHeight="1">
      <c r="A50" s="2" t="s">
        <v>223</v>
      </c>
      <c r="B50" s="18">
        <v>43056.0</v>
      </c>
      <c r="C50" s="4">
        <v>750.0</v>
      </c>
      <c r="D50" s="4">
        <v>600.0</v>
      </c>
      <c r="E50" s="4">
        <f>IFERROR(__xludf.DUMMYFUNCTION("GOOGLEFINANCE(""NSE:""&amp;A50,""price"")"),595.0)</f>
        <v>595</v>
      </c>
      <c r="F50" s="5" t="str">
        <f t="shared" si="1"/>
        <v>🔴 -20.7%</v>
      </c>
      <c r="G50" s="5" t="str">
        <f t="shared" si="2"/>
        <v>🔴 -0.8%</v>
      </c>
    </row>
    <row r="51" ht="22.5" customHeight="1">
      <c r="A51" s="2" t="s">
        <v>140</v>
      </c>
      <c r="B51" s="18">
        <v>34731.0</v>
      </c>
      <c r="C51" s="4">
        <v>1512.0</v>
      </c>
      <c r="D51" s="4">
        <v>1255.0</v>
      </c>
      <c r="E51" s="4">
        <f>IFERROR(__xludf.DUMMYFUNCTION("GOOGLEFINANCE(""NSE:""&amp;A51,""price"")"),1335.2)</f>
        <v>1335.2</v>
      </c>
      <c r="F51" s="5" t="str">
        <f t="shared" si="1"/>
        <v>🔴 -11.7%</v>
      </c>
      <c r="G51" s="5" t="str">
        <f t="shared" si="2"/>
        <v>🟢 +6.4%</v>
      </c>
    </row>
  </sheetData>
  <dataValidations>
    <dataValidation type="custom" allowBlank="1" showDropDown="1" sqref="B2:B51">
      <formula1>OR(NOT(ISERROR(DATEVALUE(B2))), AND(ISNUMBER(B2), LEFT(CELL("format", B2))="D"))</formula1>
    </dataValidation>
    <dataValidation type="custom" allowBlank="1" showDropDown="1" sqref="C2:E51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2026-05-05T05:08:51Z</dcterms:created>
  <dc:creator>openpyxl</dc:creator>
</cp:coreProperties>
</file>